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puesta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Informe" sheetId="3" state="visible" r:id="rId3"/>
    <sheet xmlns:r="http://schemas.openxmlformats.org/officeDocument/2006/relationships" name="Interpret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5">
    <font>
      <name val="Arial"/>
      <color rgb="FF000000"/>
      <sz val="10"/>
      <scheme val="minor"/>
    </font>
    <font>
      <name val="Arial"/>
      <b val="1"/>
      <color theme="1"/>
      <sz val="10"/>
    </font>
    <font/>
    <font>
      <name val="Arial"/>
      <color theme="1"/>
      <scheme val="minor"/>
    </font>
    <font>
      <name val="Arial"/>
      <color theme="1"/>
      <sz val="10"/>
    </font>
    <font>
      <name val="Arial"/>
      <color theme="1"/>
      <sz val="5"/>
    </font>
    <font>
      <name val="Arial"/>
      <b val="1"/>
      <color theme="1"/>
      <sz val="8"/>
    </font>
    <font>
      <name val="Arial"/>
      <color theme="1"/>
      <sz val="8"/>
    </font>
    <font>
      <name val="Arial"/>
      <b val="1"/>
      <color theme="1"/>
      <sz val="12"/>
    </font>
    <font>
      <name val="Arial"/>
      <color theme="1"/>
      <sz val="9"/>
    </font>
    <font>
      <name val="Arial"/>
      <b val="1"/>
      <color theme="1"/>
      <sz val="9"/>
    </font>
    <font>
      <name val="Arial"/>
      <b val="1"/>
      <color theme="1"/>
      <sz val="7"/>
    </font>
    <font>
      <name val="Arial"/>
      <color theme="1"/>
      <sz val="7"/>
    </font>
    <font>
      <name val="Arial"/>
      <b val="1"/>
      <color theme="1"/>
      <sz val="8"/>
      <u val="single"/>
    </font>
    <font>
      <name val="Arial"/>
      <b val="1"/>
      <color theme="1"/>
      <sz val="8"/>
      <u val="single"/>
    </font>
  </fonts>
  <fills count="12">
    <fill>
      <patternFill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</fills>
  <borders count="2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bottom/>
    </border>
    <border>
      <right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0" pivotButton="0" quotePrefix="0" xfId="0"/>
    <xf numFmtId="0" fontId="1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2" borderId="5" pivotButton="0" quotePrefix="0" xfId="0"/>
    <xf numFmtId="0" fontId="6" fillId="0" borderId="5" pivotButton="0" quotePrefix="0" xfId="0"/>
    <xf numFmtId="0" fontId="7" fillId="2" borderId="5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4" fillId="0" borderId="8" pivotButton="0" quotePrefix="0" xfId="0"/>
    <xf numFmtId="0" fontId="4" fillId="0" borderId="8" applyAlignment="1" pivotButton="0" quotePrefix="0" xfId="0">
      <alignment horizontal="center" vertical="center"/>
    </xf>
    <xf numFmtId="164" fontId="4" fillId="0" borderId="0" pivotButton="0" quotePrefix="0" xfId="0"/>
    <xf numFmtId="164" fontId="1" fillId="0" borderId="0" pivotButton="0" quotePrefix="0" xfId="0"/>
    <xf numFmtId="164" fontId="7" fillId="0" borderId="0" pivotButton="0" quotePrefix="0" xfId="0"/>
    <xf numFmtId="164" fontId="6" fillId="0" borderId="0" pivotButton="0" quotePrefix="0" xfId="0"/>
    <xf numFmtId="164" fontId="1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1" fillId="0" borderId="0" pivotButton="0" quotePrefix="0" xfId="0"/>
    <xf numFmtId="0" fontId="7" fillId="0" borderId="0" applyAlignment="1" pivotButton="0" quotePrefix="0" xfId="0">
      <alignment horizontal="left"/>
    </xf>
    <xf numFmtId="0" fontId="4" fillId="4" borderId="9" pivotButton="0" quotePrefix="0" xfId="0"/>
    <xf numFmtId="0" fontId="4" fillId="5" borderId="9" pivotButton="0" quotePrefix="0" xfId="0"/>
    <xf numFmtId="0" fontId="8" fillId="0" borderId="0" pivotButton="0" quotePrefix="0" xfId="0"/>
    <xf numFmtId="0" fontId="8" fillId="0" borderId="10" applyAlignment="1" pivotButton="0" quotePrefix="0" xfId="0">
      <alignment horizontal="center"/>
    </xf>
    <xf numFmtId="0" fontId="2" fillId="0" borderId="11" pivotButton="0" quotePrefix="0" xfId="0"/>
    <xf numFmtId="0" fontId="8" fillId="5" borderId="9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4" borderId="9" applyAlignment="1" pivotButton="0" quotePrefix="0" xfId="0">
      <alignment horizontal="left"/>
    </xf>
    <xf numFmtId="0" fontId="9" fillId="5" borderId="9" applyAlignment="1" pivotButton="0" quotePrefix="0" xfId="0">
      <alignment horizontal="left"/>
    </xf>
    <xf numFmtId="0" fontId="9" fillId="4" borderId="9" pivotButton="0" quotePrefix="0" xfId="0"/>
    <xf numFmtId="0" fontId="9" fillId="5" borderId="9" pivotButton="0" quotePrefix="0" xfId="0"/>
    <xf numFmtId="14" fontId="9" fillId="0" borderId="0" applyAlignment="1" pivotButton="0" quotePrefix="0" xfId="0">
      <alignment horizontal="left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right"/>
    </xf>
    <xf numFmtId="0" fontId="10" fillId="5" borderId="9" applyAlignment="1" pivotButton="0" quotePrefix="0" xfId="0">
      <alignment horizontal="left"/>
    </xf>
    <xf numFmtId="0" fontId="10" fillId="5" borderId="9" pivotButton="0" quotePrefix="0" xfId="0"/>
    <xf numFmtId="0" fontId="10" fillId="6" borderId="9" pivotButton="0" quotePrefix="0" xfId="0"/>
    <xf numFmtId="0" fontId="9" fillId="6" borderId="9" pivotButton="0" quotePrefix="0" xfId="0"/>
    <xf numFmtId="0" fontId="10" fillId="5" borderId="9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0" fillId="0" borderId="0" pivotButton="0" quotePrefix="0" xfId="0"/>
    <xf numFmtId="164" fontId="10" fillId="4" borderId="9" applyAlignment="1" pivotButton="0" quotePrefix="0" xfId="0">
      <alignment horizontal="center"/>
    </xf>
    <xf numFmtId="164" fontId="10" fillId="5" borderId="9" applyAlignment="1" pivotButton="0" quotePrefix="0" xfId="0">
      <alignment horizontal="center"/>
    </xf>
    <xf numFmtId="164" fontId="11" fillId="5" borderId="9" pivotButton="0" quotePrefix="0" xfId="0"/>
    <xf numFmtId="0" fontId="12" fillId="0" borderId="0" pivotButton="0" quotePrefix="0" xfId="0"/>
    <xf numFmtId="164" fontId="1" fillId="0" borderId="0" applyAlignment="1" pivotButton="0" quotePrefix="0" xfId="0">
      <alignment horizontal="center"/>
    </xf>
    <xf numFmtId="0" fontId="10" fillId="7" borderId="9" pivotButton="0" quotePrefix="0" xfId="0"/>
    <xf numFmtId="1" fontId="10" fillId="5" borderId="9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0" fillId="8" borderId="9" pivotButton="0" quotePrefix="0" xfId="0"/>
    <xf numFmtId="0" fontId="10" fillId="9" borderId="9" pivotButton="0" quotePrefix="0" xfId="0"/>
    <xf numFmtId="0" fontId="10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 wrapText="1"/>
    </xf>
    <xf numFmtId="0" fontId="7" fillId="4" borderId="9" applyAlignment="1" pivotButton="0" quotePrefix="0" xfId="0">
      <alignment horizontal="left" wrapText="1"/>
    </xf>
    <xf numFmtId="0" fontId="7" fillId="5" borderId="9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5" fillId="0" borderId="0" pivotButton="0" quotePrefix="0" xfId="0"/>
    <xf numFmtId="14" fontId="9" fillId="0" borderId="0" pivotButton="0" quotePrefix="0" xfId="0"/>
    <xf numFmtId="0" fontId="4" fillId="0" borderId="0" applyAlignment="1" pivotButton="0" quotePrefix="0" xfId="0">
      <alignment horizontal="right"/>
    </xf>
    <xf numFmtId="0" fontId="4" fillId="4" borderId="9" applyAlignment="1" pivotButton="0" quotePrefix="0" xfId="0">
      <alignment horizontal="left"/>
    </xf>
    <xf numFmtId="0" fontId="4" fillId="5" borderId="9" applyAlignment="1" pivotButton="0" quotePrefix="0" xfId="0">
      <alignment horizontal="left"/>
    </xf>
    <xf numFmtId="0" fontId="1" fillId="2" borderId="9" pivotButton="0" quotePrefix="0" xfId="0"/>
    <xf numFmtId="0" fontId="4" fillId="2" borderId="9" pivotButton="0" quotePrefix="0" xfId="0"/>
    <xf numFmtId="0" fontId="7" fillId="0" borderId="0" pivotButton="0" quotePrefix="0" xfId="0"/>
    <xf numFmtId="0" fontId="1" fillId="10" borderId="9" applyAlignment="1" pivotButton="0" quotePrefix="0" xfId="0">
      <alignment horizontal="left"/>
    </xf>
    <xf numFmtId="0" fontId="4" fillId="10" borderId="9" applyAlignment="1" pivotButton="0" quotePrefix="0" xfId="0">
      <alignment horizontal="left"/>
    </xf>
    <xf numFmtId="0" fontId="1" fillId="4" borderId="9" applyAlignment="1" pivotButton="0" quotePrefix="0" xfId="0">
      <alignment horizontal="center"/>
    </xf>
    <xf numFmtId="0" fontId="1" fillId="5" borderId="9" applyAlignment="1" pivotButton="0" quotePrefix="0" xfId="0">
      <alignment horizontal="center"/>
    </xf>
    <xf numFmtId="164" fontId="1" fillId="4" borderId="9" pivotButton="0" quotePrefix="0" xfId="0"/>
    <xf numFmtId="164" fontId="1" fillId="5" borderId="9" pivotButton="0" quotePrefix="0" xfId="0"/>
    <xf numFmtId="0" fontId="1" fillId="3" borderId="9" applyAlignment="1" pivotButton="0" quotePrefix="0" xfId="0">
      <alignment horizontal="left"/>
    </xf>
    <xf numFmtId="0" fontId="1" fillId="11" borderId="9" pivotButton="0" quotePrefix="0" xfId="0"/>
    <xf numFmtId="0" fontId="4" fillId="11" borderId="9" pivotButton="0" quotePrefix="0" xfId="0"/>
    <xf numFmtId="164" fontId="1" fillId="5" borderId="9" applyAlignment="1" pivotButton="0" quotePrefix="0" xfId="0">
      <alignment horizontal="right"/>
    </xf>
    <xf numFmtId="0" fontId="1" fillId="4" borderId="9" pivotButton="0" quotePrefix="0" xfId="0"/>
    <xf numFmtId="0" fontId="1" fillId="5" borderId="9" pivotButton="0" quotePrefix="0" xfId="0"/>
    <xf numFmtId="0" fontId="7" fillId="4" borderId="9" pivotButton="0" quotePrefix="0" xfId="0"/>
    <xf numFmtId="0" fontId="7" fillId="5" borderId="9" pivotButton="0" quotePrefix="0" xfId="0"/>
    <xf numFmtId="164" fontId="3" fillId="0" borderId="0" pivotButton="0" quotePrefix="0" xfId="0"/>
    <xf numFmtId="0" fontId="4" fillId="0" borderId="0" applyAlignment="1" pivotButton="0" quotePrefix="0" xfId="0">
      <alignment vertical="center" wrapText="1"/>
    </xf>
    <xf numFmtId="164" fontId="12" fillId="0" borderId="0" pivotButton="0" quotePrefix="0" xfId="0"/>
    <xf numFmtId="14" fontId="4" fillId="0" borderId="0" pivotButton="0" quotePrefix="0" xfId="0"/>
    <xf numFmtId="0" fontId="13" fillId="0" borderId="0" pivotButton="0" quotePrefix="0" xfId="0"/>
    <xf numFmtId="0" fontId="6" fillId="2" borderId="9" pivotButton="0" quotePrefix="0" xfId="0"/>
    <xf numFmtId="164" fontId="7" fillId="0" borderId="12" applyAlignment="1" pivotButton="0" quotePrefix="0" xfId="0">
      <alignment horizontal="left" vertical="center"/>
    </xf>
    <xf numFmtId="0" fontId="2" fillId="0" borderId="4" pivotButton="0" quotePrefix="0" xfId="0"/>
    <xf numFmtId="0" fontId="2" fillId="0" borderId="13" pivotButton="0" quotePrefix="0" xfId="0"/>
    <xf numFmtId="0" fontId="6" fillId="0" borderId="0" pivotButton="0" quotePrefix="0" xfId="0"/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2" fillId="0" borderId="18" pivotButton="0" quotePrefix="0" xfId="0"/>
    <xf numFmtId="0" fontId="7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19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8" fillId="0" borderId="11" applyAlignment="1" pivotButton="0" quotePrefix="0" xfId="0">
      <alignment horizontal="center"/>
    </xf>
    <xf numFmtId="164" fontId="7" fillId="0" borderId="19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Normal" xfId="0" builtinId="0"/>
  </cellStyles>
  <dxfs count="2">
    <dxf>
      <font>
        <b val="1"/>
        <color rgb="FF0000FF"/>
      </font>
      <fill>
        <patternFill/>
      </fill>
      <border/>
    </dxf>
    <dxf>
      <font>
        <b val="1"/>
        <strike val="1"/>
        <color rgb="FFFF000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Arial"/>
              </a:defRPr>
            </a:pPr>
            <a:r>
              <a:rPr sz="1100" b="1" i="0">
                <a:solidFill>
                  <a:srgbClr val="000000"/>
                </a:solidFill>
                <a:latin typeface="Arial"/>
              </a:rPr>
              <a:t>Perfil MMPI -2</a:t>
            </a:r>
          </a:p>
        </rich>
      </tx>
      <layout>
        <manualLayout>
          <xMode val="edge"/>
          <yMode val="edge"/>
          <wMode val="factor"/>
          <hMode val="factor"/>
          <x val="0.3919495974020198"/>
          <y val="0.03891050583657588"/>
        </manualLayout>
      </layout>
      <overlay val="0"/>
    </title>
    <plotArea>
      <layout>
        <manualLayout>
          <xMode val="edge"/>
          <yMode val="edge"/>
          <wMode val="factor"/>
          <hMode val="factor"/>
          <x val="0.1483052381666677"/>
          <y val="0.0972762645914397"/>
          <w val="0.8220347486952425"/>
          <h val="0.4863813229571986"/>
        </manualLayout>
      </layout>
      <lineChart>
        <grouping val="standard"/>
        <ser>
          <idx val="0"/>
          <order val="0"/>
          <spPr>
            <a:ln xmlns:a="http://schemas.openxmlformats.org/drawingml/2006/main" w="9525" cmpd="sng">
              <a:solidFill>
                <a:srgbClr val="333333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333333"/>
              </a:solidFill>
              <a:ln xmlns:a="http://schemas.openxmlformats.org/drawingml/2006/main" cmpd="sng">
                <a:solidFill>
                  <a:srgbClr val="333333"/>
                </a:solidFill>
                <a:prstDash val="solid"/>
              </a:ln>
            </spPr>
          </marker>
          <cat>
            <strRef>
              <f>Informe!$B$12:$B$41</f>
            </strRef>
          </cat>
          <val>
            <numRef>
              <f>Informe!$C$12:$C$41</f>
              <numCache/>
            </numRef>
          </val>
          <smooth val="0"/>
        </ser>
        <axId val="1336826223"/>
        <axId val="415420786"/>
      </lineChart>
      <catAx>
        <axId val="1336826223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 rot="-5400000"/>
          <a:lstStyle xmlns:a="http://schemas.openxmlformats.org/drawingml/2006/main"/>
          <a:p xmlns:a="http://schemas.openxmlformats.org/drawingml/2006/main">
            <a:pPr lvl="0">
              <a:defRPr sz="700" b="1" i="0">
                <a:solidFill>
                  <a:srgbClr val="000000"/>
                </a:solidFill>
                <a:latin typeface="Arial"/>
              </a:defRPr>
            </a:pPr>
            <a:r>
              <a:t/>
            </a:r>
          </a:p>
        </txPr>
        <crossAx val="415420786"/>
        <lblOffset val="100"/>
      </catAx>
      <valAx>
        <axId val="415420786"/>
        <scaling>
          <orientation val="minMax"/>
          <max val="12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8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800" b="1" i="0">
                    <a:solidFill>
                      <a:srgbClr val="000000"/>
                    </a:solidFill>
                    <a:latin typeface="Arial"/>
                  </a:rPr>
                  <a:t>Puntuaciones Típicas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3389830508474579"/>
              <y val="0.1050583657587549"/>
            </manualLayout>
          </layout>
          <overlay val="0"/>
        </title>
        <numFmt formatCode="General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r>
              <a:t/>
            </a:r>
          </a:p>
        </txPr>
        <crossAx val="1336826223"/>
        <minorUnit val="1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 i="0">
                <a:solidFill>
                  <a:srgbClr val="000000"/>
                </a:solidFill>
                <a:latin typeface="Arial"/>
              </a:defRPr>
            </a:pPr>
            <a:r>
              <a:rPr sz="1200" b="1" i="0">
                <a:solidFill>
                  <a:srgbClr val="000000"/>
                </a:solidFill>
                <a:latin typeface="Arial"/>
              </a:rPr>
              <a:t>PERFIL MMPI - 2</a:t>
            </a:r>
          </a:p>
        </rich>
      </tx>
      <layout>
        <manualLayout>
          <xMode val="edge"/>
          <yMode val="edge"/>
          <wMode val="factor"/>
          <hMode val="factor"/>
          <x val="0.3642109683657965"/>
          <y val="0.03571428571428571"/>
        </manualLayout>
      </layout>
      <overlay val="0"/>
    </title>
    <plotArea>
      <layout>
        <manualLayout>
          <xMode val="edge"/>
          <yMode val="edge"/>
          <wMode val="factor"/>
          <hMode val="factor"/>
          <x val="0.1515791031857557"/>
          <y val="0.1623376623376623"/>
          <w val="0.8189482102674865"/>
          <h val="0.5194805194805194"/>
        </manualLayout>
      </layout>
      <lineChart>
        <grouping val="standard"/>
        <ser>
          <idx val="0"/>
          <order val="0"/>
          <spPr>
            <a:ln xmlns:a="http://schemas.openxmlformats.org/drawingml/2006/main" w="9525" cmpd="sng">
              <a:solidFill>
                <a:srgbClr val="0000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Informe!$A$76:$A$90</f>
            </strRef>
          </cat>
          <val>
            <numRef>
              <f>Informe!$B$76:$B$90</f>
              <numCache/>
            </numRef>
          </val>
          <smooth val="0"/>
        </ser>
        <axId val="1246770494"/>
        <axId val="2147226738"/>
      </lineChart>
      <catAx>
        <axId val="124677049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out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 rot="-5400000"/>
          <a:lstStyle xmlns:a="http://schemas.openxmlformats.org/drawingml/2006/main"/>
          <a:p xmlns:a="http://schemas.openxmlformats.org/drawingml/2006/main">
            <a:pPr lvl="0">
              <a:defRPr sz="600" b="1" i="0">
                <a:solidFill>
                  <a:srgbClr val="000000"/>
                </a:solidFill>
                <a:latin typeface="Arial"/>
              </a:defRPr>
            </a:pPr>
            <a:r>
              <a:t/>
            </a:r>
          </a:p>
        </txPr>
        <crossAx val="2147226738"/>
        <lblOffset val="100"/>
      </catAx>
      <valAx>
        <axId val="2147226738"/>
        <scaling>
          <orientation val="minMax"/>
          <max val="120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Arial"/>
                  </a:rPr>
                  <a:t>Puntuaciones Típicas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3368421052631582"/>
              <y val="0.1980519480519481"/>
            </manualLayout>
          </layout>
          <overlay val="0"/>
        </title>
        <numFmt formatCode="General" sourceLinked="1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r>
              <a:t/>
            </a:r>
          </a:p>
        </txPr>
        <crossAx val="1246770494"/>
        <minorUnit val="1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43</row>
      <rowOff>57150</rowOff>
    </from>
    <ext cx="5257800" cy="24479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0</col>
      <colOff>647700</colOff>
      <row>99</row>
      <rowOff>9525</rowOff>
    </from>
    <ext cx="5391150" cy="29337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T820"/>
  <sheetViews>
    <sheetView workbookViewId="0">
      <selection activeCell="A1" sqref="A1"/>
    </sheetView>
  </sheetViews>
  <sheetFormatPr baseColWidth="8" defaultColWidth="12.63" defaultRowHeight="15" customHeight="1"/>
  <cols>
    <col width="11.38" customWidth="1" style="110" min="1" max="2"/>
    <col width="6" customWidth="1" style="110" min="3" max="22"/>
    <col width="8.380000000000001" customWidth="1" style="110" min="23" max="23"/>
    <col width="8.75" customWidth="1" style="110" min="24" max="24"/>
    <col width="11.38" customWidth="1" style="110" min="25" max="46"/>
  </cols>
  <sheetData>
    <row r="1" ht="12.75" customHeight="1" s="110">
      <c r="E1" s="111" t="inlineStr">
        <is>
          <t>CORRECCIÓN MECANIZADA DEL MMPI - 2</t>
        </is>
      </c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  <c r="Q1" s="112" t="n"/>
      <c r="R1" s="112" t="n"/>
      <c r="S1" s="112" t="n"/>
      <c r="T1" s="112" t="n"/>
      <c r="U1" s="113" t="n"/>
    </row>
    <row r="2" ht="12.75" customHeight="1" s="110">
      <c r="C2" s="4" t="inlineStr">
        <is>
          <t>Nombre:</t>
        </is>
      </c>
      <c r="D2" t="inlineStr">
        <is>
          <t>Ivan</t>
        </is>
      </c>
      <c r="G2" s="5" t="n"/>
      <c r="H2" s="5" t="n"/>
      <c r="I2" s="5" t="n"/>
      <c r="J2" s="5" t="n"/>
      <c r="K2" s="5" t="n"/>
      <c r="L2" s="5" t="n"/>
      <c r="M2" s="5" t="n"/>
    </row>
    <row r="3" ht="12.75" customHeight="1" s="110">
      <c r="C3" s="6" t="inlineStr">
        <is>
          <t>Edad:</t>
        </is>
      </c>
      <c r="F3" s="6" t="n"/>
      <c r="G3" s="7" t="n"/>
      <c r="N3" s="8" t="inlineStr">
        <is>
          <t>RECUERDA: 1- VERDADERO; 2 - FALSO; 3 - EN BLANCO</t>
        </is>
      </c>
      <c r="O3" s="8" t="n"/>
      <c r="P3" s="8" t="n"/>
      <c r="Q3" s="8" t="n"/>
      <c r="R3" s="8" t="n"/>
      <c r="S3" s="8" t="n"/>
      <c r="T3" s="8" t="n"/>
      <c r="U3" s="8" t="n"/>
      <c r="V3" s="8" t="n"/>
    </row>
    <row r="4" ht="12.75" customHeight="1" s="110">
      <c r="C4" s="4" t="inlineStr">
        <is>
          <t>Fecha:</t>
        </is>
      </c>
      <c r="G4" s="9" t="n"/>
    </row>
    <row r="5" ht="12.75" customHeight="1" s="110">
      <c r="C5" s="4" t="inlineStr">
        <is>
          <t>Evaluador: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12.75" customHeight="1" s="110">
      <c r="C6" s="10" t="n"/>
      <c r="D6" s="10" t="n"/>
      <c r="E6" s="10" t="n"/>
      <c r="F6" s="10" t="n"/>
    </row>
    <row r="7" ht="12.75" customHeight="1" s="110">
      <c r="C7" s="11" t="inlineStr">
        <is>
          <t>ITEM</t>
        </is>
      </c>
      <c r="D7" s="12" t="inlineStr">
        <is>
          <t>RESP</t>
        </is>
      </c>
      <c r="E7" s="11" t="inlineStr">
        <is>
          <t>ITEM</t>
        </is>
      </c>
      <c r="F7" s="12" t="inlineStr">
        <is>
          <t>RESP</t>
        </is>
      </c>
      <c r="G7" s="11" t="inlineStr">
        <is>
          <t>ITEM</t>
        </is>
      </c>
      <c r="H7" s="12" t="inlineStr">
        <is>
          <t>RESP</t>
        </is>
      </c>
      <c r="I7" s="11" t="inlineStr">
        <is>
          <t>ITEM</t>
        </is>
      </c>
      <c r="J7" s="12" t="inlineStr">
        <is>
          <t>RESP</t>
        </is>
      </c>
      <c r="K7" s="11" t="inlineStr">
        <is>
          <t>ITEM</t>
        </is>
      </c>
      <c r="L7" s="12" t="inlineStr">
        <is>
          <t>RESP</t>
        </is>
      </c>
      <c r="M7" s="11" t="inlineStr">
        <is>
          <t>ITEM</t>
        </is>
      </c>
      <c r="N7" s="12" t="inlineStr">
        <is>
          <t>RESP</t>
        </is>
      </c>
      <c r="O7" s="11" t="inlineStr">
        <is>
          <t>ITEM</t>
        </is>
      </c>
      <c r="P7" s="12" t="inlineStr">
        <is>
          <t>RESP</t>
        </is>
      </c>
      <c r="Q7" s="11" t="inlineStr">
        <is>
          <t>ITEM</t>
        </is>
      </c>
      <c r="R7" s="12" t="inlineStr">
        <is>
          <t>RESP</t>
        </is>
      </c>
      <c r="S7" s="11" t="inlineStr">
        <is>
          <t>ITEM</t>
        </is>
      </c>
      <c r="T7" s="12" t="inlineStr">
        <is>
          <t>RESP</t>
        </is>
      </c>
      <c r="U7" s="11" t="inlineStr">
        <is>
          <t>ITEM</t>
        </is>
      </c>
      <c r="V7" s="12" t="inlineStr">
        <is>
          <t>RESP</t>
        </is>
      </c>
    </row>
    <row r="8" ht="12.75" customHeight="1" s="110">
      <c r="C8" s="13" t="n">
        <v>1</v>
      </c>
      <c r="D8" s="17" t="n"/>
      <c r="E8" s="13" t="n">
        <v>61</v>
      </c>
      <c r="F8" s="17" t="n"/>
      <c r="G8" s="13" t="n">
        <v>121</v>
      </c>
      <c r="H8" s="17" t="n"/>
      <c r="I8" s="13" t="n">
        <v>181</v>
      </c>
      <c r="J8" s="17" t="n"/>
      <c r="K8" s="13" t="n">
        <v>241</v>
      </c>
      <c r="L8" s="17" t="n"/>
      <c r="M8" s="13" t="n">
        <v>301</v>
      </c>
      <c r="N8" s="17" t="n"/>
      <c r="O8" s="13" t="n">
        <v>361</v>
      </c>
      <c r="P8" s="17" t="n"/>
      <c r="Q8" s="13" t="n">
        <v>421</v>
      </c>
      <c r="R8" s="17" t="n"/>
      <c r="S8" s="13" t="n">
        <v>481</v>
      </c>
      <c r="T8" s="17" t="n"/>
      <c r="U8" s="13" t="n">
        <v>541</v>
      </c>
      <c r="V8" s="17" t="n"/>
    </row>
    <row r="9" ht="12.75" customHeight="1" s="110">
      <c r="C9" s="13" t="n">
        <v>2</v>
      </c>
      <c r="D9" s="17" t="n"/>
      <c r="E9" s="13" t="n">
        <v>62</v>
      </c>
      <c r="F9" s="17" t="n"/>
      <c r="G9" s="13" t="n">
        <v>122</v>
      </c>
      <c r="H9" s="17" t="n"/>
      <c r="I9" s="13" t="n">
        <v>182</v>
      </c>
      <c r="J9" s="17" t="n"/>
      <c r="K9" s="13" t="n">
        <v>242</v>
      </c>
      <c r="L9" s="17" t="n"/>
      <c r="M9" s="13" t="n">
        <v>302</v>
      </c>
      <c r="N9" s="17" t="n"/>
      <c r="O9" s="13" t="n">
        <v>362</v>
      </c>
      <c r="P9" s="17" t="n"/>
      <c r="Q9" s="13" t="n">
        <v>422</v>
      </c>
      <c r="R9" s="17" t="n"/>
      <c r="S9" s="13" t="n">
        <v>482</v>
      </c>
      <c r="T9" s="17" t="n"/>
      <c r="U9" s="13" t="n">
        <v>542</v>
      </c>
      <c r="V9" s="17" t="n"/>
    </row>
    <row r="10" ht="12.75" customHeight="1" s="110">
      <c r="C10" s="13" t="n">
        <v>3</v>
      </c>
      <c r="D10" s="17" t="n"/>
      <c r="E10" s="13" t="n">
        <v>63</v>
      </c>
      <c r="F10" s="17" t="n"/>
      <c r="G10" s="13" t="n">
        <v>123</v>
      </c>
      <c r="H10" s="17" t="n"/>
      <c r="I10" s="13" t="n">
        <v>183</v>
      </c>
      <c r="J10" s="17" t="n"/>
      <c r="K10" s="13" t="n">
        <v>243</v>
      </c>
      <c r="L10" s="17" t="n"/>
      <c r="M10" s="13" t="n">
        <v>303</v>
      </c>
      <c r="N10" s="17" t="n"/>
      <c r="O10" s="13" t="n">
        <v>363</v>
      </c>
      <c r="P10" s="17" t="n"/>
      <c r="Q10" s="13" t="n">
        <v>423</v>
      </c>
      <c r="R10" s="17" t="n"/>
      <c r="S10" s="13" t="n">
        <v>483</v>
      </c>
      <c r="T10" s="17" t="n"/>
      <c r="U10" s="13" t="n">
        <v>543</v>
      </c>
      <c r="V10" s="17" t="n"/>
    </row>
    <row r="11" ht="12.75" customHeight="1" s="110">
      <c r="C11" s="13" t="n">
        <v>4</v>
      </c>
      <c r="D11" s="17" t="n"/>
      <c r="E11" s="13" t="n">
        <v>64</v>
      </c>
      <c r="F11" s="17" t="n"/>
      <c r="G11" s="13" t="n">
        <v>124</v>
      </c>
      <c r="H11" s="17" t="n"/>
      <c r="I11" s="13" t="n">
        <v>184</v>
      </c>
      <c r="J11" s="17" t="n"/>
      <c r="K11" s="13" t="n">
        <v>244</v>
      </c>
      <c r="L11" s="17" t="n"/>
      <c r="M11" s="13" t="n">
        <v>304</v>
      </c>
      <c r="N11" s="17" t="n"/>
      <c r="O11" s="13" t="n">
        <v>364</v>
      </c>
      <c r="P11" s="17" t="n"/>
      <c r="Q11" s="13" t="n">
        <v>424</v>
      </c>
      <c r="R11" s="17" t="n"/>
      <c r="S11" s="13" t="n">
        <v>484</v>
      </c>
      <c r="T11" s="17" t="n"/>
      <c r="U11" s="13" t="n">
        <v>544</v>
      </c>
      <c r="V11" s="17" t="n"/>
    </row>
    <row r="12" ht="12.75" customHeight="1" s="110">
      <c r="C12" s="13" t="n">
        <v>5</v>
      </c>
      <c r="D12" s="17" t="n"/>
      <c r="E12" s="13" t="n">
        <v>65</v>
      </c>
      <c r="F12" s="17" t="n"/>
      <c r="G12" s="13" t="n">
        <v>125</v>
      </c>
      <c r="H12" s="17" t="n"/>
      <c r="I12" s="13" t="n">
        <v>185</v>
      </c>
      <c r="J12" s="17" t="n"/>
      <c r="K12" s="13" t="n">
        <v>245</v>
      </c>
      <c r="L12" s="17" t="n"/>
      <c r="M12" s="13" t="n">
        <v>305</v>
      </c>
      <c r="N12" s="17" t="n"/>
      <c r="O12" s="13" t="n">
        <v>365</v>
      </c>
      <c r="P12" s="17" t="n"/>
      <c r="Q12" s="13" t="n">
        <v>425</v>
      </c>
      <c r="R12" s="17" t="n"/>
      <c r="S12" s="13" t="n">
        <v>485</v>
      </c>
      <c r="T12" s="17" t="n"/>
      <c r="U12" s="13" t="n">
        <v>545</v>
      </c>
      <c r="V12" s="17" t="n"/>
    </row>
    <row r="13" ht="12.75" customHeight="1" s="110">
      <c r="C13" s="13" t="n">
        <v>6</v>
      </c>
      <c r="D13" s="17" t="n"/>
      <c r="E13" s="13" t="n">
        <v>66</v>
      </c>
      <c r="F13" s="17" t="n"/>
      <c r="G13" s="13" t="n">
        <v>126</v>
      </c>
      <c r="H13" s="17" t="n"/>
      <c r="I13" s="13" t="n">
        <v>186</v>
      </c>
      <c r="J13" s="17" t="n"/>
      <c r="K13" s="13" t="n">
        <v>246</v>
      </c>
      <c r="L13" s="17" t="n"/>
      <c r="M13" s="13" t="n">
        <v>306</v>
      </c>
      <c r="N13" s="17" t="n"/>
      <c r="O13" s="13" t="n">
        <v>366</v>
      </c>
      <c r="P13" s="17" t="n"/>
      <c r="Q13" s="13" t="n">
        <v>426</v>
      </c>
      <c r="R13" s="17" t="n"/>
      <c r="S13" s="13" t="n">
        <v>486</v>
      </c>
      <c r="T13" s="17" t="n"/>
      <c r="U13" s="13" t="n">
        <v>546</v>
      </c>
      <c r="V13" s="17" t="n"/>
    </row>
    <row r="14" ht="12.75" customHeight="1" s="110">
      <c r="C14" s="13" t="n">
        <v>7</v>
      </c>
      <c r="D14" s="17" t="n"/>
      <c r="E14" s="13" t="n">
        <v>67</v>
      </c>
      <c r="F14" s="17" t="n"/>
      <c r="G14" s="13" t="n">
        <v>127</v>
      </c>
      <c r="H14" s="17" t="n"/>
      <c r="I14" s="13" t="n">
        <v>187</v>
      </c>
      <c r="J14" s="17" t="n"/>
      <c r="K14" s="13" t="n">
        <v>247</v>
      </c>
      <c r="L14" s="17" t="n"/>
      <c r="M14" s="13" t="n">
        <v>307</v>
      </c>
      <c r="N14" s="17" t="n"/>
      <c r="O14" s="13" t="n">
        <v>367</v>
      </c>
      <c r="P14" s="17" t="n"/>
      <c r="Q14" s="13" t="n">
        <v>427</v>
      </c>
      <c r="R14" s="17" t="n"/>
      <c r="S14" s="13" t="n">
        <v>487</v>
      </c>
      <c r="T14" s="17" t="n"/>
      <c r="U14" s="13" t="n">
        <v>547</v>
      </c>
      <c r="V14" s="17" t="n"/>
    </row>
    <row r="15" ht="12.75" customHeight="1" s="110">
      <c r="C15" s="13" t="n">
        <v>8</v>
      </c>
      <c r="D15" s="17" t="n"/>
      <c r="E15" s="13" t="n">
        <v>68</v>
      </c>
      <c r="F15" s="17" t="n"/>
      <c r="G15" s="13" t="n">
        <v>128</v>
      </c>
      <c r="H15" s="17" t="n"/>
      <c r="I15" s="13" t="n">
        <v>188</v>
      </c>
      <c r="J15" s="17" t="n"/>
      <c r="K15" s="13" t="n">
        <v>248</v>
      </c>
      <c r="L15" s="17" t="n"/>
      <c r="M15" s="13" t="n">
        <v>308</v>
      </c>
      <c r="N15" s="17" t="n"/>
      <c r="O15" s="13" t="n">
        <v>368</v>
      </c>
      <c r="P15" s="17" t="n"/>
      <c r="Q15" s="13" t="n">
        <v>428</v>
      </c>
      <c r="R15" s="17" t="n"/>
      <c r="S15" s="13" t="n">
        <v>488</v>
      </c>
      <c r="T15" s="17" t="n"/>
      <c r="U15" s="13" t="n">
        <v>548</v>
      </c>
      <c r="V15" s="17" t="n"/>
    </row>
    <row r="16" ht="12.75" customHeight="1" s="110">
      <c r="C16" s="13" t="n">
        <v>9</v>
      </c>
      <c r="D16" s="17" t="n"/>
      <c r="E16" s="13" t="n">
        <v>69</v>
      </c>
      <c r="F16" s="17" t="n"/>
      <c r="G16" s="13" t="n">
        <v>129</v>
      </c>
      <c r="H16" s="17" t="n"/>
      <c r="I16" s="13" t="n">
        <v>189</v>
      </c>
      <c r="J16" s="17" t="n"/>
      <c r="K16" s="13" t="n">
        <v>249</v>
      </c>
      <c r="L16" s="17" t="n"/>
      <c r="M16" s="13" t="n">
        <v>309</v>
      </c>
      <c r="N16" s="17" t="n"/>
      <c r="O16" s="13" t="n">
        <v>369</v>
      </c>
      <c r="P16" s="17" t="n"/>
      <c r="Q16" s="13" t="n">
        <v>429</v>
      </c>
      <c r="R16" s="17" t="n"/>
      <c r="S16" s="13" t="n">
        <v>489</v>
      </c>
      <c r="T16" s="17" t="n"/>
      <c r="U16" s="13" t="n">
        <v>549</v>
      </c>
      <c r="V16" s="17" t="n"/>
    </row>
    <row r="17" ht="12.75" customHeight="1" s="110">
      <c r="C17" s="13" t="n">
        <v>10</v>
      </c>
      <c r="D17" s="17" t="n"/>
      <c r="E17" s="13" t="n">
        <v>70</v>
      </c>
      <c r="F17" s="17" t="n"/>
      <c r="G17" s="13" t="n">
        <v>130</v>
      </c>
      <c r="H17" s="17" t="n"/>
      <c r="I17" s="13" t="n">
        <v>190</v>
      </c>
      <c r="J17" s="17" t="n"/>
      <c r="K17" s="13" t="n">
        <v>250</v>
      </c>
      <c r="L17" s="17" t="n"/>
      <c r="M17" s="13" t="n">
        <v>310</v>
      </c>
      <c r="N17" s="17" t="n"/>
      <c r="O17" s="13" t="n">
        <v>370</v>
      </c>
      <c r="P17" s="17" t="n"/>
      <c r="Q17" s="13" t="n">
        <v>430</v>
      </c>
      <c r="R17" s="17" t="n"/>
      <c r="S17" s="13" t="n">
        <v>490</v>
      </c>
      <c r="T17" s="17" t="n"/>
      <c r="U17" s="13" t="n">
        <v>550</v>
      </c>
      <c r="V17" s="17" t="n"/>
    </row>
    <row r="18" ht="12.75" customHeight="1" s="110">
      <c r="C18" s="13" t="n">
        <v>11</v>
      </c>
      <c r="D18" s="17" t="n"/>
      <c r="E18" s="13" t="n">
        <v>71</v>
      </c>
      <c r="F18" s="17" t="n"/>
      <c r="G18" s="13" t="n">
        <v>131</v>
      </c>
      <c r="H18" s="17" t="n"/>
      <c r="I18" s="13" t="n">
        <v>191</v>
      </c>
      <c r="J18" s="17" t="n"/>
      <c r="K18" s="13" t="n">
        <v>251</v>
      </c>
      <c r="L18" s="17" t="n"/>
      <c r="M18" s="13" t="n">
        <v>311</v>
      </c>
      <c r="N18" s="17" t="n"/>
      <c r="O18" s="13" t="n">
        <v>371</v>
      </c>
      <c r="P18" s="17" t="n"/>
      <c r="Q18" s="13" t="n">
        <v>431</v>
      </c>
      <c r="R18" s="17" t="n"/>
      <c r="S18" s="13" t="n">
        <v>491</v>
      </c>
      <c r="T18" s="17" t="n"/>
      <c r="U18" s="13" t="n">
        <v>551</v>
      </c>
      <c r="V18" s="17" t="n"/>
    </row>
    <row r="19" ht="12.75" customHeight="1" s="110">
      <c r="C19" s="13" t="n">
        <v>12</v>
      </c>
      <c r="D19" s="17" t="n"/>
      <c r="E19" s="13" t="n">
        <v>72</v>
      </c>
      <c r="F19" s="17" t="n"/>
      <c r="G19" s="13" t="n">
        <v>132</v>
      </c>
      <c r="H19" s="17" t="n"/>
      <c r="I19" s="13" t="n">
        <v>192</v>
      </c>
      <c r="J19" s="17" t="n"/>
      <c r="K19" s="13" t="n">
        <v>252</v>
      </c>
      <c r="L19" s="17" t="n"/>
      <c r="M19" s="13" t="n">
        <v>312</v>
      </c>
      <c r="N19" s="17" t="n"/>
      <c r="O19" s="13" t="n">
        <v>372</v>
      </c>
      <c r="P19" s="17" t="n"/>
      <c r="Q19" s="13" t="n">
        <v>432</v>
      </c>
      <c r="R19" s="17" t="n"/>
      <c r="S19" s="13" t="n">
        <v>492</v>
      </c>
      <c r="T19" s="17" t="n"/>
      <c r="U19" s="13" t="n">
        <v>552</v>
      </c>
      <c r="V19" s="17" t="n"/>
    </row>
    <row r="20" ht="12.75" customHeight="1" s="110">
      <c r="C20" s="13" t="n">
        <v>13</v>
      </c>
      <c r="D20" s="17" t="n"/>
      <c r="E20" s="13" t="n">
        <v>73</v>
      </c>
      <c r="F20" s="17" t="n"/>
      <c r="G20" s="13" t="n">
        <v>133</v>
      </c>
      <c r="H20" s="17" t="n"/>
      <c r="I20" s="13" t="n">
        <v>193</v>
      </c>
      <c r="J20" s="17" t="n"/>
      <c r="K20" s="13" t="n">
        <v>253</v>
      </c>
      <c r="L20" s="17" t="n"/>
      <c r="M20" s="13" t="n">
        <v>313</v>
      </c>
      <c r="N20" s="17" t="n"/>
      <c r="O20" s="13" t="n">
        <v>373</v>
      </c>
      <c r="P20" s="17" t="n"/>
      <c r="Q20" s="13" t="n">
        <v>433</v>
      </c>
      <c r="R20" s="17" t="n"/>
      <c r="S20" s="13" t="n">
        <v>493</v>
      </c>
      <c r="T20" s="17" t="n"/>
      <c r="U20" s="13" t="n">
        <v>553</v>
      </c>
      <c r="V20" s="17" t="n"/>
    </row>
    <row r="21" ht="12.75" customHeight="1" s="110">
      <c r="C21" s="13" t="n">
        <v>14</v>
      </c>
      <c r="D21" s="17" t="n"/>
      <c r="E21" s="13" t="n">
        <v>74</v>
      </c>
      <c r="F21" s="17" t="n"/>
      <c r="G21" s="13" t="n">
        <v>134</v>
      </c>
      <c r="H21" s="17" t="n"/>
      <c r="I21" s="13" t="n">
        <v>194</v>
      </c>
      <c r="J21" s="17" t="n"/>
      <c r="K21" s="13" t="n">
        <v>254</v>
      </c>
      <c r="L21" s="17" t="n"/>
      <c r="M21" s="13" t="n">
        <v>314</v>
      </c>
      <c r="N21" s="17" t="n"/>
      <c r="O21" s="13" t="n">
        <v>374</v>
      </c>
      <c r="P21" s="17" t="n"/>
      <c r="Q21" s="13" t="n">
        <v>434</v>
      </c>
      <c r="R21" s="17" t="n"/>
      <c r="S21" s="13" t="n">
        <v>494</v>
      </c>
      <c r="T21" s="17" t="n"/>
      <c r="U21" s="13" t="n">
        <v>554</v>
      </c>
      <c r="V21" s="17" t="n"/>
    </row>
    <row r="22" ht="12.75" customHeight="1" s="110">
      <c r="C22" s="13" t="n">
        <v>15</v>
      </c>
      <c r="D22" s="17" t="n"/>
      <c r="E22" s="13" t="n">
        <v>75</v>
      </c>
      <c r="F22" s="17" t="n"/>
      <c r="G22" s="13" t="n">
        <v>135</v>
      </c>
      <c r="H22" s="17" t="n"/>
      <c r="I22" s="13" t="n">
        <v>195</v>
      </c>
      <c r="J22" s="17" t="n"/>
      <c r="K22" s="13" t="n">
        <v>255</v>
      </c>
      <c r="L22" s="17" t="n"/>
      <c r="M22" s="13" t="n">
        <v>315</v>
      </c>
      <c r="N22" s="17" t="n"/>
      <c r="O22" s="13" t="n">
        <v>375</v>
      </c>
      <c r="P22" s="17" t="n"/>
      <c r="Q22" s="13" t="n">
        <v>435</v>
      </c>
      <c r="R22" s="17" t="n"/>
      <c r="S22" s="13" t="n">
        <v>495</v>
      </c>
      <c r="T22" s="17" t="n"/>
      <c r="U22" s="13" t="n">
        <v>555</v>
      </c>
      <c r="V22" s="17" t="n"/>
    </row>
    <row r="23" ht="12.75" customHeight="1" s="110">
      <c r="C23" s="13" t="n">
        <v>16</v>
      </c>
      <c r="D23" s="17" t="n"/>
      <c r="E23" s="13" t="n">
        <v>76</v>
      </c>
      <c r="F23" s="17" t="n"/>
      <c r="G23" s="13" t="n">
        <v>136</v>
      </c>
      <c r="H23" s="17" t="n"/>
      <c r="I23" s="13" t="n">
        <v>196</v>
      </c>
      <c r="J23" s="17" t="n"/>
      <c r="K23" s="13" t="n">
        <v>256</v>
      </c>
      <c r="L23" s="17" t="n"/>
      <c r="M23" s="13" t="n">
        <v>316</v>
      </c>
      <c r="N23" s="17" t="n"/>
      <c r="O23" s="13" t="n">
        <v>376</v>
      </c>
      <c r="P23" s="17" t="n"/>
      <c r="Q23" s="13" t="n">
        <v>436</v>
      </c>
      <c r="R23" s="17" t="n"/>
      <c r="S23" s="13" t="n">
        <v>496</v>
      </c>
      <c r="T23" s="17" t="n"/>
      <c r="U23" s="13" t="n">
        <v>556</v>
      </c>
      <c r="V23" s="17" t="n"/>
    </row>
    <row r="24" ht="12.75" customHeight="1" s="110">
      <c r="C24" s="13" t="n">
        <v>17</v>
      </c>
      <c r="D24" s="17" t="n"/>
      <c r="E24" s="13" t="n">
        <v>77</v>
      </c>
      <c r="F24" s="17" t="n"/>
      <c r="G24" s="13" t="n">
        <v>137</v>
      </c>
      <c r="H24" s="17" t="n"/>
      <c r="I24" s="13" t="n">
        <v>197</v>
      </c>
      <c r="J24" s="17" t="n"/>
      <c r="K24" s="13" t="n">
        <v>257</v>
      </c>
      <c r="L24" s="17" t="n"/>
      <c r="M24" s="13" t="n">
        <v>317</v>
      </c>
      <c r="N24" s="17" t="n"/>
      <c r="O24" s="13" t="n">
        <v>377</v>
      </c>
      <c r="P24" s="17" t="n"/>
      <c r="Q24" s="13" t="n">
        <v>437</v>
      </c>
      <c r="R24" s="17" t="n"/>
      <c r="S24" s="13" t="n">
        <v>497</v>
      </c>
      <c r="T24" s="17" t="n"/>
      <c r="U24" s="13" t="n">
        <v>557</v>
      </c>
      <c r="V24" s="17" t="n"/>
    </row>
    <row r="25" ht="12.75" customHeight="1" s="110">
      <c r="C25" s="13" t="n">
        <v>18</v>
      </c>
      <c r="D25" s="17" t="n"/>
      <c r="E25" s="13" t="n">
        <v>78</v>
      </c>
      <c r="F25" s="17" t="n"/>
      <c r="G25" s="13" t="n">
        <v>138</v>
      </c>
      <c r="H25" s="17" t="n"/>
      <c r="I25" s="13" t="n">
        <v>198</v>
      </c>
      <c r="J25" s="17" t="n"/>
      <c r="K25" s="13" t="n">
        <v>258</v>
      </c>
      <c r="L25" s="17" t="n"/>
      <c r="M25" s="13" t="n">
        <v>318</v>
      </c>
      <c r="N25" s="17" t="n"/>
      <c r="O25" s="13" t="n">
        <v>378</v>
      </c>
      <c r="P25" s="17" t="n"/>
      <c r="Q25" s="13" t="n">
        <v>438</v>
      </c>
      <c r="R25" s="17" t="n"/>
      <c r="S25" s="13" t="n">
        <v>498</v>
      </c>
      <c r="T25" s="17" t="n"/>
      <c r="U25" s="13" t="n">
        <v>558</v>
      </c>
      <c r="V25" s="17" t="n"/>
    </row>
    <row r="26" ht="12.75" customHeight="1" s="110">
      <c r="C26" s="13" t="n">
        <v>19</v>
      </c>
      <c r="D26" s="17" t="n"/>
      <c r="E26" s="13" t="n">
        <v>79</v>
      </c>
      <c r="F26" s="17" t="n"/>
      <c r="G26" s="13" t="n">
        <v>139</v>
      </c>
      <c r="H26" s="17" t="n"/>
      <c r="I26" s="13" t="n">
        <v>199</v>
      </c>
      <c r="J26" s="17" t="n"/>
      <c r="K26" s="13" t="n">
        <v>259</v>
      </c>
      <c r="L26" s="17" t="n"/>
      <c r="M26" s="13" t="n">
        <v>319</v>
      </c>
      <c r="N26" s="17" t="n"/>
      <c r="O26" s="13" t="n">
        <v>379</v>
      </c>
      <c r="P26" s="17" t="n"/>
      <c r="Q26" s="13" t="n">
        <v>439</v>
      </c>
      <c r="R26" s="17" t="n"/>
      <c r="S26" s="13" t="n">
        <v>499</v>
      </c>
      <c r="T26" s="17" t="n"/>
      <c r="U26" s="13" t="n">
        <v>559</v>
      </c>
      <c r="V26" s="17" t="n"/>
    </row>
    <row r="27" ht="12.75" customHeight="1" s="110">
      <c r="C27" s="13" t="n">
        <v>20</v>
      </c>
      <c r="D27" s="17" t="n"/>
      <c r="E27" s="13" t="n">
        <v>80</v>
      </c>
      <c r="F27" s="17" t="n"/>
      <c r="G27" s="13" t="n">
        <v>140</v>
      </c>
      <c r="H27" s="17" t="n"/>
      <c r="I27" s="13" t="n">
        <v>200</v>
      </c>
      <c r="J27" s="17" t="n"/>
      <c r="K27" s="13" t="n">
        <v>260</v>
      </c>
      <c r="L27" s="17" t="n"/>
      <c r="M27" s="13" t="n">
        <v>320</v>
      </c>
      <c r="N27" s="17" t="n"/>
      <c r="O27" s="13" t="n">
        <v>380</v>
      </c>
      <c r="P27" s="17" t="n"/>
      <c r="Q27" s="13" t="n">
        <v>440</v>
      </c>
      <c r="R27" s="17" t="n"/>
      <c r="S27" s="13" t="n">
        <v>500</v>
      </c>
      <c r="T27" s="17" t="n"/>
      <c r="U27" s="13" t="n">
        <v>560</v>
      </c>
      <c r="V27" s="17" t="n"/>
    </row>
    <row r="28" ht="12.75" customHeight="1" s="110">
      <c r="C28" s="13" t="n">
        <v>21</v>
      </c>
      <c r="D28" s="17" t="n"/>
      <c r="E28" s="13" t="n">
        <v>81</v>
      </c>
      <c r="F28" s="17" t="n"/>
      <c r="G28" s="13" t="n">
        <v>141</v>
      </c>
      <c r="H28" s="17" t="n"/>
      <c r="I28" s="13" t="n">
        <v>201</v>
      </c>
      <c r="J28" s="17" t="n"/>
      <c r="K28" s="13" t="n">
        <v>261</v>
      </c>
      <c r="L28" s="17" t="n"/>
      <c r="M28" s="13" t="n">
        <v>321</v>
      </c>
      <c r="N28" s="17" t="n"/>
      <c r="O28" s="13" t="n">
        <v>381</v>
      </c>
      <c r="P28" s="17" t="n"/>
      <c r="Q28" s="13" t="n">
        <v>441</v>
      </c>
      <c r="R28" s="17" t="n"/>
      <c r="S28" s="13" t="n">
        <v>501</v>
      </c>
      <c r="T28" s="17" t="n"/>
      <c r="U28" s="13" t="n">
        <v>561</v>
      </c>
      <c r="V28" s="17" t="n"/>
    </row>
    <row r="29" ht="12.75" customHeight="1" s="110">
      <c r="C29" s="13" t="n">
        <v>22</v>
      </c>
      <c r="D29" s="17" t="n"/>
      <c r="E29" s="13" t="n">
        <v>82</v>
      </c>
      <c r="F29" s="17" t="n"/>
      <c r="G29" s="13" t="n">
        <v>142</v>
      </c>
      <c r="H29" s="17" t="n"/>
      <c r="I29" s="13" t="n">
        <v>202</v>
      </c>
      <c r="J29" s="17" t="n"/>
      <c r="K29" s="13" t="n">
        <v>262</v>
      </c>
      <c r="L29" s="17" t="n"/>
      <c r="M29" s="13" t="n">
        <v>322</v>
      </c>
      <c r="N29" s="17" t="n"/>
      <c r="O29" s="13" t="n">
        <v>382</v>
      </c>
      <c r="P29" s="17" t="n"/>
      <c r="Q29" s="13" t="n">
        <v>442</v>
      </c>
      <c r="R29" s="17" t="n"/>
      <c r="S29" s="13" t="n">
        <v>502</v>
      </c>
      <c r="T29" s="17" t="n"/>
      <c r="U29" s="13" t="n">
        <v>562</v>
      </c>
      <c r="V29" s="17" t="n"/>
    </row>
    <row r="30" ht="12.75" customHeight="1" s="110">
      <c r="C30" s="13" t="n">
        <v>23</v>
      </c>
      <c r="D30" s="17" t="n"/>
      <c r="E30" s="13" t="n">
        <v>83</v>
      </c>
      <c r="F30" s="17" t="n"/>
      <c r="G30" s="13" t="n">
        <v>143</v>
      </c>
      <c r="H30" s="17" t="n"/>
      <c r="I30" s="13" t="n">
        <v>203</v>
      </c>
      <c r="J30" s="17" t="n"/>
      <c r="K30" s="13" t="n">
        <v>263</v>
      </c>
      <c r="L30" s="17" t="n"/>
      <c r="M30" s="13" t="n">
        <v>323</v>
      </c>
      <c r="N30" s="17" t="n"/>
      <c r="O30" s="13" t="n">
        <v>383</v>
      </c>
      <c r="P30" s="17" t="n"/>
      <c r="Q30" s="13" t="n">
        <v>443</v>
      </c>
      <c r="R30" s="17" t="n"/>
      <c r="S30" s="13" t="n">
        <v>503</v>
      </c>
      <c r="T30" s="17" t="n"/>
      <c r="U30" s="13" t="n">
        <v>563</v>
      </c>
      <c r="V30" s="17" t="n"/>
    </row>
    <row r="31" ht="12.75" customHeight="1" s="110">
      <c r="C31" s="13" t="n">
        <v>24</v>
      </c>
      <c r="D31" s="17" t="n"/>
      <c r="E31" s="13" t="n">
        <v>84</v>
      </c>
      <c r="F31" s="17" t="n"/>
      <c r="G31" s="13" t="n">
        <v>144</v>
      </c>
      <c r="H31" s="17" t="n"/>
      <c r="I31" s="13" t="n">
        <v>204</v>
      </c>
      <c r="J31" s="17" t="n"/>
      <c r="K31" s="13" t="n">
        <v>264</v>
      </c>
      <c r="L31" s="17" t="n"/>
      <c r="M31" s="13" t="n">
        <v>324</v>
      </c>
      <c r="N31" s="17" t="n"/>
      <c r="O31" s="13" t="n">
        <v>384</v>
      </c>
      <c r="P31" s="17" t="n"/>
      <c r="Q31" s="13" t="n">
        <v>444</v>
      </c>
      <c r="R31" s="17" t="n"/>
      <c r="S31" s="13" t="n">
        <v>504</v>
      </c>
      <c r="T31" s="17" t="n"/>
      <c r="U31" s="13" t="n">
        <v>564</v>
      </c>
      <c r="V31" s="17" t="n"/>
    </row>
    <row r="32" ht="12.75" customHeight="1" s="110">
      <c r="C32" s="13" t="n">
        <v>25</v>
      </c>
      <c r="D32" s="17" t="n"/>
      <c r="E32" s="13" t="n">
        <v>85</v>
      </c>
      <c r="F32" s="17" t="n"/>
      <c r="G32" s="13" t="n">
        <v>145</v>
      </c>
      <c r="H32" s="17" t="n"/>
      <c r="I32" s="13" t="n">
        <v>205</v>
      </c>
      <c r="J32" s="17" t="n"/>
      <c r="K32" s="13" t="n">
        <v>265</v>
      </c>
      <c r="L32" s="17" t="n"/>
      <c r="M32" s="13" t="n">
        <v>325</v>
      </c>
      <c r="N32" s="17" t="n"/>
      <c r="O32" s="13" t="n">
        <v>385</v>
      </c>
      <c r="P32" s="17" t="n"/>
      <c r="Q32" s="13" t="n">
        <v>445</v>
      </c>
      <c r="R32" s="17" t="n"/>
      <c r="S32" s="13" t="n">
        <v>505</v>
      </c>
      <c r="T32" s="17" t="n"/>
      <c r="U32" s="13" t="n">
        <v>565</v>
      </c>
      <c r="V32" s="17" t="n"/>
    </row>
    <row r="33" ht="12.75" customHeight="1" s="110">
      <c r="C33" s="13" t="n">
        <v>26</v>
      </c>
      <c r="D33" s="17" t="n"/>
      <c r="E33" s="13" t="n">
        <v>86</v>
      </c>
      <c r="F33" s="17" t="n"/>
      <c r="G33" s="13" t="n">
        <v>146</v>
      </c>
      <c r="H33" s="17" t="n"/>
      <c r="I33" s="13" t="n">
        <v>206</v>
      </c>
      <c r="J33" s="17" t="n"/>
      <c r="K33" s="13" t="n">
        <v>266</v>
      </c>
      <c r="L33" s="17" t="n"/>
      <c r="M33" s="13" t="n">
        <v>326</v>
      </c>
      <c r="N33" s="17" t="n"/>
      <c r="O33" s="13" t="n">
        <v>386</v>
      </c>
      <c r="P33" s="17" t="n"/>
      <c r="Q33" s="13" t="n">
        <v>446</v>
      </c>
      <c r="R33" s="17" t="n"/>
      <c r="S33" s="13" t="n">
        <v>506</v>
      </c>
      <c r="T33" s="17" t="n"/>
      <c r="U33" s="13" t="n">
        <v>566</v>
      </c>
      <c r="V33" s="17" t="n"/>
    </row>
    <row r="34" ht="12.75" customHeight="1" s="110">
      <c r="C34" s="13" t="n">
        <v>27</v>
      </c>
      <c r="D34" s="17" t="n"/>
      <c r="E34" s="13" t="n">
        <v>87</v>
      </c>
      <c r="F34" s="17" t="n"/>
      <c r="G34" s="13" t="n">
        <v>147</v>
      </c>
      <c r="H34" s="17" t="n"/>
      <c r="I34" s="13" t="n">
        <v>207</v>
      </c>
      <c r="J34" s="17" t="n"/>
      <c r="K34" s="13" t="n">
        <v>267</v>
      </c>
      <c r="L34" s="17" t="n"/>
      <c r="M34" s="13" t="n">
        <v>327</v>
      </c>
      <c r="N34" s="17" t="n"/>
      <c r="O34" s="13" t="n">
        <v>387</v>
      </c>
      <c r="P34" s="17" t="n"/>
      <c r="Q34" s="13" t="n">
        <v>447</v>
      </c>
      <c r="R34" s="17" t="n"/>
      <c r="S34" s="13" t="n">
        <v>507</v>
      </c>
      <c r="T34" s="17" t="n"/>
      <c r="U34" s="13" t="n">
        <v>567</v>
      </c>
      <c r="V34" s="15" t="n"/>
    </row>
    <row r="35" ht="12.75" customHeight="1" s="110">
      <c r="C35" s="13" t="n">
        <v>28</v>
      </c>
      <c r="D35" s="17" t="n"/>
      <c r="E35" s="13" t="n">
        <v>88</v>
      </c>
      <c r="F35" s="17" t="n"/>
      <c r="G35" s="13" t="n">
        <v>148</v>
      </c>
      <c r="H35" s="17" t="n"/>
      <c r="I35" s="13" t="n">
        <v>208</v>
      </c>
      <c r="J35" s="17" t="n"/>
      <c r="K35" s="13" t="n">
        <v>268</v>
      </c>
      <c r="L35" s="17" t="n"/>
      <c r="M35" s="13" t="n">
        <v>328</v>
      </c>
      <c r="N35" s="17" t="n"/>
      <c r="O35" s="13" t="n">
        <v>388</v>
      </c>
      <c r="P35" s="17" t="n"/>
      <c r="Q35" s="13" t="n">
        <v>448</v>
      </c>
      <c r="R35" s="17" t="n"/>
      <c r="S35" s="13" t="n">
        <v>508</v>
      </c>
      <c r="T35" s="17" t="n"/>
      <c r="U35" s="16" t="n"/>
      <c r="V35" s="17" t="n"/>
    </row>
    <row r="36" ht="12.75" customHeight="1" s="110">
      <c r="C36" s="13" t="n">
        <v>29</v>
      </c>
      <c r="D36" s="17" t="n"/>
      <c r="E36" s="13" t="n">
        <v>89</v>
      </c>
      <c r="F36" s="17" t="n"/>
      <c r="G36" s="13" t="n">
        <v>149</v>
      </c>
      <c r="H36" s="17" t="n"/>
      <c r="I36" s="13" t="n">
        <v>209</v>
      </c>
      <c r="J36" s="17" t="n"/>
      <c r="K36" s="13" t="n">
        <v>269</v>
      </c>
      <c r="L36" s="17" t="n"/>
      <c r="M36" s="13" t="n">
        <v>329</v>
      </c>
      <c r="N36" s="17" t="n"/>
      <c r="O36" s="13" t="n">
        <v>389</v>
      </c>
      <c r="P36" s="17" t="n"/>
      <c r="Q36" s="13" t="n">
        <v>449</v>
      </c>
      <c r="R36" s="17" t="n"/>
      <c r="S36" s="13" t="n">
        <v>509</v>
      </c>
      <c r="T36" s="17" t="n"/>
      <c r="U36" s="16" t="n"/>
      <c r="V36" s="17" t="n"/>
    </row>
    <row r="37" ht="12.75" customHeight="1" s="110">
      <c r="C37" s="13" t="n">
        <v>30</v>
      </c>
      <c r="D37" s="17" t="n"/>
      <c r="E37" s="13" t="n">
        <v>90</v>
      </c>
      <c r="F37" s="17" t="n"/>
      <c r="G37" s="13" t="n">
        <v>150</v>
      </c>
      <c r="H37" s="17" t="n"/>
      <c r="I37" s="13" t="n">
        <v>210</v>
      </c>
      <c r="J37" s="17" t="n"/>
      <c r="K37" s="13" t="n">
        <v>270</v>
      </c>
      <c r="L37" s="17" t="n"/>
      <c r="M37" s="13" t="n">
        <v>330</v>
      </c>
      <c r="N37" s="17" t="n"/>
      <c r="O37" s="13" t="n">
        <v>390</v>
      </c>
      <c r="P37" s="17" t="n"/>
      <c r="Q37" s="13" t="n">
        <v>450</v>
      </c>
      <c r="R37" s="17" t="n"/>
      <c r="S37" s="13" t="n">
        <v>510</v>
      </c>
      <c r="T37" s="17" t="n"/>
      <c r="U37" s="16" t="n"/>
      <c r="V37" s="17" t="n"/>
    </row>
    <row r="38" ht="12.75" customHeight="1" s="110">
      <c r="C38" s="13" t="n">
        <v>31</v>
      </c>
      <c r="D38" s="17" t="n"/>
      <c r="E38" s="13" t="n">
        <v>91</v>
      </c>
      <c r="F38" s="17" t="n"/>
      <c r="G38" s="13" t="n">
        <v>151</v>
      </c>
      <c r="H38" s="17" t="n"/>
      <c r="I38" s="13" t="n">
        <v>211</v>
      </c>
      <c r="J38" s="17" t="n"/>
      <c r="K38" s="13" t="n">
        <v>271</v>
      </c>
      <c r="L38" s="17" t="n"/>
      <c r="M38" s="13" t="n">
        <v>331</v>
      </c>
      <c r="N38" s="17" t="n"/>
      <c r="O38" s="13" t="n">
        <v>391</v>
      </c>
      <c r="P38" s="17" t="n"/>
      <c r="Q38" s="13" t="n">
        <v>451</v>
      </c>
      <c r="R38" s="17" t="n"/>
      <c r="S38" s="13" t="n">
        <v>511</v>
      </c>
      <c r="T38" s="17" t="n"/>
      <c r="U38" s="16" t="n"/>
      <c r="V38" s="17" t="n"/>
    </row>
    <row r="39" ht="12.75" customHeight="1" s="110">
      <c r="C39" s="13" t="n">
        <v>32</v>
      </c>
      <c r="D39" s="17" t="n"/>
      <c r="E39" s="13" t="n">
        <v>92</v>
      </c>
      <c r="F39" s="17" t="n"/>
      <c r="G39" s="13" t="n">
        <v>152</v>
      </c>
      <c r="H39" s="17" t="n"/>
      <c r="I39" s="13" t="n">
        <v>212</v>
      </c>
      <c r="J39" s="17" t="n"/>
      <c r="K39" s="13" t="n">
        <v>272</v>
      </c>
      <c r="L39" s="17" t="n"/>
      <c r="M39" s="13" t="n">
        <v>332</v>
      </c>
      <c r="N39" s="17" t="n"/>
      <c r="O39" s="13" t="n">
        <v>392</v>
      </c>
      <c r="P39" s="17" t="n"/>
      <c r="Q39" s="13" t="n">
        <v>452</v>
      </c>
      <c r="R39" s="17" t="n"/>
      <c r="S39" s="13" t="n">
        <v>512</v>
      </c>
      <c r="T39" s="17" t="n"/>
      <c r="U39" s="16" t="n"/>
      <c r="V39" s="17" t="n"/>
    </row>
    <row r="40" ht="12.75" customHeight="1" s="110">
      <c r="C40" s="13" t="n">
        <v>33</v>
      </c>
      <c r="D40" s="17" t="n"/>
      <c r="E40" s="13" t="n">
        <v>93</v>
      </c>
      <c r="F40" s="17" t="n"/>
      <c r="G40" s="13" t="n">
        <v>153</v>
      </c>
      <c r="H40" s="17" t="n"/>
      <c r="I40" s="13" t="n">
        <v>213</v>
      </c>
      <c r="J40" s="17" t="n"/>
      <c r="K40" s="13" t="n">
        <v>273</v>
      </c>
      <c r="L40" s="17" t="n"/>
      <c r="M40" s="13" t="n">
        <v>333</v>
      </c>
      <c r="N40" s="17" t="n"/>
      <c r="O40" s="13" t="n">
        <v>393</v>
      </c>
      <c r="P40" s="17" t="n"/>
      <c r="Q40" s="13" t="n">
        <v>453</v>
      </c>
      <c r="R40" s="17" t="n"/>
      <c r="S40" s="13" t="n">
        <v>513</v>
      </c>
      <c r="T40" s="17" t="n"/>
      <c r="U40" s="16" t="n"/>
      <c r="V40" s="17" t="n"/>
    </row>
    <row r="41" ht="12.75" customHeight="1" s="110">
      <c r="C41" s="13" t="n">
        <v>34</v>
      </c>
      <c r="D41" s="17" t="n"/>
      <c r="E41" s="13" t="n">
        <v>94</v>
      </c>
      <c r="F41" s="17" t="n"/>
      <c r="G41" s="13" t="n">
        <v>154</v>
      </c>
      <c r="H41" s="17" t="n"/>
      <c r="I41" s="13" t="n">
        <v>214</v>
      </c>
      <c r="J41" s="17" t="n"/>
      <c r="K41" s="13" t="n">
        <v>274</v>
      </c>
      <c r="L41" s="17" t="n"/>
      <c r="M41" s="13" t="n">
        <v>334</v>
      </c>
      <c r="N41" s="17" t="n"/>
      <c r="O41" s="13" t="n">
        <v>394</v>
      </c>
      <c r="P41" s="17" t="n"/>
      <c r="Q41" s="13" t="n">
        <v>454</v>
      </c>
      <c r="R41" s="17" t="n"/>
      <c r="S41" s="13" t="n">
        <v>514</v>
      </c>
      <c r="T41" s="17" t="n"/>
      <c r="U41" s="16" t="n"/>
      <c r="V41" s="17" t="n"/>
    </row>
    <row r="42" ht="12.75" customHeight="1" s="110">
      <c r="C42" s="13" t="n">
        <v>35</v>
      </c>
      <c r="D42" s="17" t="n"/>
      <c r="E42" s="13" t="n">
        <v>95</v>
      </c>
      <c r="F42" s="17" t="n"/>
      <c r="G42" s="13" t="n">
        <v>155</v>
      </c>
      <c r="H42" s="17" t="n"/>
      <c r="I42" s="13" t="n">
        <v>215</v>
      </c>
      <c r="J42" s="17" t="n"/>
      <c r="K42" s="13" t="n">
        <v>275</v>
      </c>
      <c r="L42" s="17" t="n"/>
      <c r="M42" s="13" t="n">
        <v>335</v>
      </c>
      <c r="N42" s="17" t="n"/>
      <c r="O42" s="13" t="n">
        <v>395</v>
      </c>
      <c r="P42" s="17" t="n"/>
      <c r="Q42" s="13" t="n">
        <v>455</v>
      </c>
      <c r="R42" s="17" t="n"/>
      <c r="S42" s="13" t="n">
        <v>515</v>
      </c>
      <c r="T42" s="17" t="n"/>
      <c r="U42" s="16" t="n"/>
      <c r="V42" s="17" t="n"/>
    </row>
    <row r="43" ht="12.75" customHeight="1" s="110">
      <c r="C43" s="13" t="n">
        <v>36</v>
      </c>
      <c r="D43" s="17" t="n"/>
      <c r="E43" s="13" t="n">
        <v>96</v>
      </c>
      <c r="F43" s="17" t="n"/>
      <c r="G43" s="13" t="n">
        <v>156</v>
      </c>
      <c r="H43" s="17" t="n"/>
      <c r="I43" s="13" t="n">
        <v>216</v>
      </c>
      <c r="J43" s="17" t="n"/>
      <c r="K43" s="13" t="n">
        <v>276</v>
      </c>
      <c r="L43" s="17" t="n"/>
      <c r="M43" s="13" t="n">
        <v>336</v>
      </c>
      <c r="N43" s="17" t="n"/>
      <c r="O43" s="13" t="n">
        <v>396</v>
      </c>
      <c r="P43" s="17" t="n"/>
      <c r="Q43" s="13" t="n">
        <v>456</v>
      </c>
      <c r="R43" s="17" t="n"/>
      <c r="S43" s="13" t="n">
        <v>516</v>
      </c>
      <c r="T43" s="17" t="n"/>
      <c r="U43" s="16" t="n"/>
      <c r="V43" s="17" t="n"/>
    </row>
    <row r="44" ht="12.75" customHeight="1" s="110">
      <c r="C44" s="13" t="n">
        <v>37</v>
      </c>
      <c r="D44" s="17" t="n"/>
      <c r="E44" s="13" t="n">
        <v>97</v>
      </c>
      <c r="F44" s="17" t="n"/>
      <c r="G44" s="13" t="n">
        <v>157</v>
      </c>
      <c r="H44" s="17" t="n"/>
      <c r="I44" s="13" t="n">
        <v>217</v>
      </c>
      <c r="J44" s="17" t="n"/>
      <c r="K44" s="13" t="n">
        <v>277</v>
      </c>
      <c r="L44" s="17" t="n"/>
      <c r="M44" s="13" t="n">
        <v>337</v>
      </c>
      <c r="N44" s="17" t="n"/>
      <c r="O44" s="13" t="n">
        <v>397</v>
      </c>
      <c r="P44" s="17" t="n"/>
      <c r="Q44" s="13" t="n">
        <v>457</v>
      </c>
      <c r="R44" s="17" t="n"/>
      <c r="S44" s="13" t="n">
        <v>517</v>
      </c>
      <c r="T44" s="17" t="n"/>
      <c r="U44" s="16" t="n"/>
      <c r="V44" s="17" t="n"/>
    </row>
    <row r="45" ht="12.75" customHeight="1" s="110">
      <c r="C45" s="13" t="n">
        <v>38</v>
      </c>
      <c r="D45" s="17" t="n"/>
      <c r="E45" s="13" t="n">
        <v>98</v>
      </c>
      <c r="F45" s="17" t="n"/>
      <c r="G45" s="13" t="n">
        <v>158</v>
      </c>
      <c r="H45" s="17" t="n"/>
      <c r="I45" s="13" t="n">
        <v>218</v>
      </c>
      <c r="J45" s="17" t="n"/>
      <c r="K45" s="13" t="n">
        <v>278</v>
      </c>
      <c r="L45" s="17" t="n"/>
      <c r="M45" s="13" t="n">
        <v>338</v>
      </c>
      <c r="N45" s="17" t="n"/>
      <c r="O45" s="13" t="n">
        <v>398</v>
      </c>
      <c r="P45" s="17" t="n"/>
      <c r="Q45" s="13" t="n">
        <v>458</v>
      </c>
      <c r="R45" s="17" t="n"/>
      <c r="S45" s="13" t="n">
        <v>518</v>
      </c>
      <c r="T45" s="17" t="n"/>
      <c r="U45" s="16" t="n"/>
      <c r="V45" s="17" t="n"/>
    </row>
    <row r="46" ht="12.75" customHeight="1" s="110">
      <c r="C46" s="13" t="n">
        <v>39</v>
      </c>
      <c r="D46" s="17" t="n"/>
      <c r="E46" s="13" t="n">
        <v>99</v>
      </c>
      <c r="F46" s="17" t="n"/>
      <c r="G46" s="13" t="n">
        <v>159</v>
      </c>
      <c r="H46" s="17" t="n"/>
      <c r="I46" s="13" t="n">
        <v>219</v>
      </c>
      <c r="J46" s="17" t="n"/>
      <c r="K46" s="13" t="n">
        <v>279</v>
      </c>
      <c r="L46" s="17" t="n"/>
      <c r="M46" s="13" t="n">
        <v>339</v>
      </c>
      <c r="N46" s="17" t="n"/>
      <c r="O46" s="13" t="n">
        <v>399</v>
      </c>
      <c r="P46" s="17" t="n"/>
      <c r="Q46" s="13" t="n">
        <v>459</v>
      </c>
      <c r="R46" s="17" t="n"/>
      <c r="S46" s="13" t="n">
        <v>519</v>
      </c>
      <c r="T46" s="17" t="n"/>
      <c r="U46" s="16" t="n"/>
      <c r="V46" s="17" t="n"/>
    </row>
    <row r="47" ht="12.75" customHeight="1" s="110">
      <c r="C47" s="13" t="n">
        <v>40</v>
      </c>
      <c r="D47" s="17" t="n"/>
      <c r="E47" s="13" t="n">
        <v>100</v>
      </c>
      <c r="F47" s="17" t="n"/>
      <c r="G47" s="13" t="n">
        <v>160</v>
      </c>
      <c r="H47" s="17" t="n"/>
      <c r="I47" s="13" t="n">
        <v>220</v>
      </c>
      <c r="J47" s="17" t="n"/>
      <c r="K47" s="13" t="n">
        <v>280</v>
      </c>
      <c r="L47" s="17" t="n"/>
      <c r="M47" s="13" t="n">
        <v>340</v>
      </c>
      <c r="N47" s="17" t="n"/>
      <c r="O47" s="13" t="n">
        <v>400</v>
      </c>
      <c r="P47" s="17" t="n"/>
      <c r="Q47" s="13" t="n">
        <v>460</v>
      </c>
      <c r="R47" s="17" t="n"/>
      <c r="S47" s="13" t="n">
        <v>520</v>
      </c>
      <c r="T47" s="17" t="n"/>
      <c r="U47" s="16" t="n"/>
      <c r="V47" s="17" t="n"/>
    </row>
    <row r="48" ht="12.75" customHeight="1" s="110">
      <c r="C48" s="13" t="n">
        <v>41</v>
      </c>
      <c r="D48" s="17" t="n"/>
      <c r="E48" s="13" t="n">
        <v>101</v>
      </c>
      <c r="F48" s="17" t="n"/>
      <c r="G48" s="13" t="n">
        <v>161</v>
      </c>
      <c r="H48" s="17" t="n"/>
      <c r="I48" s="13" t="n">
        <v>221</v>
      </c>
      <c r="J48" s="17" t="n"/>
      <c r="K48" s="13" t="n">
        <v>281</v>
      </c>
      <c r="L48" s="17" t="n"/>
      <c r="M48" s="13" t="n">
        <v>341</v>
      </c>
      <c r="N48" s="17" t="n"/>
      <c r="O48" s="13" t="n">
        <v>401</v>
      </c>
      <c r="P48" s="17" t="n"/>
      <c r="Q48" s="13" t="n">
        <v>461</v>
      </c>
      <c r="R48" s="17" t="n"/>
      <c r="S48" s="13" t="n">
        <v>521</v>
      </c>
      <c r="T48" s="17" t="n"/>
      <c r="U48" s="16" t="n"/>
      <c r="V48" s="17" t="n"/>
    </row>
    <row r="49" ht="12.75" customHeight="1" s="110">
      <c r="C49" s="13" t="n">
        <v>42</v>
      </c>
      <c r="D49" s="17" t="n"/>
      <c r="E49" s="13" t="n">
        <v>102</v>
      </c>
      <c r="F49" s="17" t="n"/>
      <c r="G49" s="13" t="n">
        <v>162</v>
      </c>
      <c r="H49" s="17" t="n"/>
      <c r="I49" s="13" t="n">
        <v>222</v>
      </c>
      <c r="J49" s="17" t="n"/>
      <c r="K49" s="13" t="n">
        <v>282</v>
      </c>
      <c r="L49" s="17" t="n"/>
      <c r="M49" s="13" t="n">
        <v>342</v>
      </c>
      <c r="N49" s="17" t="n"/>
      <c r="O49" s="13" t="n">
        <v>402</v>
      </c>
      <c r="P49" s="17" t="n"/>
      <c r="Q49" s="13" t="n">
        <v>462</v>
      </c>
      <c r="R49" s="17" t="n"/>
      <c r="S49" s="13" t="n">
        <v>522</v>
      </c>
      <c r="T49" s="17" t="n"/>
      <c r="U49" s="16" t="n"/>
      <c r="V49" s="17" t="n"/>
    </row>
    <row r="50" ht="12.75" customHeight="1" s="110">
      <c r="C50" s="13" t="n">
        <v>43</v>
      </c>
      <c r="D50" s="17" t="n"/>
      <c r="E50" s="13" t="n">
        <v>103</v>
      </c>
      <c r="F50" s="17" t="n"/>
      <c r="G50" s="13" t="n">
        <v>163</v>
      </c>
      <c r="H50" s="17" t="n"/>
      <c r="I50" s="13" t="n">
        <v>223</v>
      </c>
      <c r="J50" s="17" t="n"/>
      <c r="K50" s="13" t="n">
        <v>283</v>
      </c>
      <c r="L50" s="17" t="n"/>
      <c r="M50" s="13" t="n">
        <v>343</v>
      </c>
      <c r="N50" s="17" t="n"/>
      <c r="O50" s="13" t="n">
        <v>403</v>
      </c>
      <c r="P50" s="17" t="n"/>
      <c r="Q50" s="13" t="n">
        <v>463</v>
      </c>
      <c r="R50" s="17" t="n"/>
      <c r="S50" s="13" t="n">
        <v>523</v>
      </c>
      <c r="T50" s="17" t="n"/>
      <c r="U50" s="16" t="n"/>
      <c r="V50" s="17" t="n"/>
    </row>
    <row r="51" ht="12.75" customHeight="1" s="110">
      <c r="C51" s="13" t="n">
        <v>44</v>
      </c>
      <c r="D51" s="17" t="n"/>
      <c r="E51" s="13" t="n">
        <v>104</v>
      </c>
      <c r="F51" s="17" t="n"/>
      <c r="G51" s="13" t="n">
        <v>164</v>
      </c>
      <c r="H51" s="17" t="n"/>
      <c r="I51" s="13" t="n">
        <v>224</v>
      </c>
      <c r="J51" s="17" t="n"/>
      <c r="K51" s="13" t="n">
        <v>284</v>
      </c>
      <c r="L51" s="17" t="n"/>
      <c r="M51" s="13" t="n">
        <v>344</v>
      </c>
      <c r="N51" s="17" t="n"/>
      <c r="O51" s="13" t="n">
        <v>404</v>
      </c>
      <c r="P51" s="17" t="n"/>
      <c r="Q51" s="13" t="n">
        <v>464</v>
      </c>
      <c r="R51" s="17" t="n"/>
      <c r="S51" s="13" t="n">
        <v>524</v>
      </c>
      <c r="T51" s="17" t="n"/>
      <c r="U51" s="16" t="n"/>
      <c r="V51" s="17" t="n"/>
    </row>
    <row r="52" ht="12.75" customHeight="1" s="110">
      <c r="C52" s="13" t="n">
        <v>45</v>
      </c>
      <c r="D52" s="17" t="n"/>
      <c r="E52" s="13" t="n">
        <v>105</v>
      </c>
      <c r="F52" s="17" t="n"/>
      <c r="G52" s="13" t="n">
        <v>165</v>
      </c>
      <c r="H52" s="17" t="n"/>
      <c r="I52" s="13" t="n">
        <v>225</v>
      </c>
      <c r="J52" s="17" t="n"/>
      <c r="K52" s="13" t="n">
        <v>285</v>
      </c>
      <c r="L52" s="17" t="n"/>
      <c r="M52" s="13" t="n">
        <v>345</v>
      </c>
      <c r="N52" s="17" t="n"/>
      <c r="O52" s="13" t="n">
        <v>405</v>
      </c>
      <c r="P52" s="17" t="n"/>
      <c r="Q52" s="13" t="n">
        <v>465</v>
      </c>
      <c r="R52" s="17" t="n"/>
      <c r="S52" s="13" t="n">
        <v>525</v>
      </c>
      <c r="T52" s="17" t="n"/>
      <c r="U52" s="16" t="n"/>
      <c r="V52" s="17" t="n"/>
    </row>
    <row r="53" ht="12.75" customHeight="1" s="110">
      <c r="C53" s="13" t="n">
        <v>46</v>
      </c>
      <c r="D53" s="17" t="n"/>
      <c r="E53" s="13" t="n">
        <v>106</v>
      </c>
      <c r="F53" s="17" t="n"/>
      <c r="G53" s="13" t="n">
        <v>166</v>
      </c>
      <c r="H53" s="17" t="n"/>
      <c r="I53" s="13" t="n">
        <v>226</v>
      </c>
      <c r="J53" s="17" t="n"/>
      <c r="K53" s="13" t="n">
        <v>286</v>
      </c>
      <c r="L53" s="17" t="n"/>
      <c r="M53" s="13" t="n">
        <v>346</v>
      </c>
      <c r="N53" s="17" t="n"/>
      <c r="O53" s="13" t="n">
        <v>406</v>
      </c>
      <c r="P53" s="17" t="n"/>
      <c r="Q53" s="13" t="n">
        <v>466</v>
      </c>
      <c r="R53" s="17" t="n"/>
      <c r="S53" s="13" t="n">
        <v>526</v>
      </c>
      <c r="T53" s="17" t="n"/>
      <c r="U53" s="16" t="n"/>
      <c r="V53" s="17" t="n"/>
    </row>
    <row r="54" ht="12.75" customHeight="1" s="110">
      <c r="C54" s="13" t="n">
        <v>47</v>
      </c>
      <c r="D54" s="17" t="n"/>
      <c r="E54" s="13" t="n">
        <v>107</v>
      </c>
      <c r="F54" s="17" t="n"/>
      <c r="G54" s="13" t="n">
        <v>167</v>
      </c>
      <c r="H54" s="17" t="n"/>
      <c r="I54" s="13" t="n">
        <v>227</v>
      </c>
      <c r="J54" s="17" t="n"/>
      <c r="K54" s="13" t="n">
        <v>287</v>
      </c>
      <c r="L54" s="17" t="n"/>
      <c r="M54" s="13" t="n">
        <v>347</v>
      </c>
      <c r="N54" s="17" t="n"/>
      <c r="O54" s="13" t="n">
        <v>407</v>
      </c>
      <c r="P54" s="17" t="n"/>
      <c r="Q54" s="13" t="n">
        <v>467</v>
      </c>
      <c r="R54" s="17" t="n"/>
      <c r="S54" s="13" t="n">
        <v>527</v>
      </c>
      <c r="T54" s="17" t="n"/>
      <c r="U54" s="16" t="n"/>
      <c r="V54" s="17" t="n"/>
    </row>
    <row r="55" ht="12.75" customHeight="1" s="110">
      <c r="C55" s="13" t="n">
        <v>48</v>
      </c>
      <c r="D55" s="17" t="n"/>
      <c r="E55" s="13" t="n">
        <v>108</v>
      </c>
      <c r="F55" s="17" t="n"/>
      <c r="G55" s="13" t="n">
        <v>168</v>
      </c>
      <c r="H55" s="17" t="n"/>
      <c r="I55" s="13" t="n">
        <v>228</v>
      </c>
      <c r="J55" s="17" t="n"/>
      <c r="K55" s="13" t="n">
        <v>288</v>
      </c>
      <c r="L55" s="17" t="n"/>
      <c r="M55" s="13" t="n">
        <v>348</v>
      </c>
      <c r="N55" s="17" t="n"/>
      <c r="O55" s="13" t="n">
        <v>408</v>
      </c>
      <c r="P55" s="17" t="n"/>
      <c r="Q55" s="13" t="n">
        <v>468</v>
      </c>
      <c r="R55" s="17" t="n"/>
      <c r="S55" s="13" t="n">
        <v>528</v>
      </c>
      <c r="T55" s="17" t="n"/>
      <c r="U55" s="16" t="n"/>
      <c r="V55" s="17" t="n"/>
    </row>
    <row r="56" ht="12.75" customHeight="1" s="110">
      <c r="C56" s="13" t="n">
        <v>49</v>
      </c>
      <c r="D56" s="17" t="n"/>
      <c r="E56" s="13" t="n">
        <v>109</v>
      </c>
      <c r="F56" s="17" t="n"/>
      <c r="G56" s="13" t="n">
        <v>169</v>
      </c>
      <c r="H56" s="17" t="n"/>
      <c r="I56" s="13" t="n">
        <v>229</v>
      </c>
      <c r="J56" s="17" t="n"/>
      <c r="K56" s="13" t="n">
        <v>289</v>
      </c>
      <c r="L56" s="17" t="n"/>
      <c r="M56" s="13" t="n">
        <v>349</v>
      </c>
      <c r="N56" s="17" t="n"/>
      <c r="O56" s="13" t="n">
        <v>409</v>
      </c>
      <c r="P56" s="17" t="n"/>
      <c r="Q56" s="13" t="n">
        <v>469</v>
      </c>
      <c r="R56" s="17" t="n"/>
      <c r="S56" s="13" t="n">
        <v>529</v>
      </c>
      <c r="T56" s="17" t="n"/>
      <c r="U56" s="16" t="n"/>
      <c r="V56" s="17" t="n"/>
    </row>
    <row r="57" ht="12.75" customHeight="1" s="110">
      <c r="C57" s="13" t="n">
        <v>50</v>
      </c>
      <c r="D57" s="17" t="n"/>
      <c r="E57" s="13" t="n">
        <v>110</v>
      </c>
      <c r="F57" s="17" t="n"/>
      <c r="G57" s="13" t="n">
        <v>170</v>
      </c>
      <c r="H57" s="17" t="n"/>
      <c r="I57" s="13" t="n">
        <v>230</v>
      </c>
      <c r="J57" s="17" t="n"/>
      <c r="K57" s="13" t="n">
        <v>290</v>
      </c>
      <c r="L57" s="17" t="n"/>
      <c r="M57" s="13" t="n">
        <v>350</v>
      </c>
      <c r="N57" s="17" t="n"/>
      <c r="O57" s="13" t="n">
        <v>410</v>
      </c>
      <c r="P57" s="17" t="n"/>
      <c r="Q57" s="13" t="n">
        <v>470</v>
      </c>
      <c r="R57" s="17" t="n"/>
      <c r="S57" s="13" t="n">
        <v>530</v>
      </c>
      <c r="T57" s="17" t="n"/>
      <c r="U57" s="16" t="n"/>
      <c r="V57" s="17" t="n"/>
    </row>
    <row r="58" ht="12.75" customHeight="1" s="110">
      <c r="C58" s="13" t="n">
        <v>51</v>
      </c>
      <c r="D58" s="17" t="n"/>
      <c r="E58" s="13" t="n">
        <v>111</v>
      </c>
      <c r="F58" s="17" t="n"/>
      <c r="G58" s="13" t="n">
        <v>171</v>
      </c>
      <c r="H58" s="17" t="n"/>
      <c r="I58" s="13" t="n">
        <v>231</v>
      </c>
      <c r="J58" s="17" t="n"/>
      <c r="K58" s="13" t="n">
        <v>291</v>
      </c>
      <c r="L58" s="17" t="n"/>
      <c r="M58" s="13" t="n">
        <v>351</v>
      </c>
      <c r="N58" s="17" t="n"/>
      <c r="O58" s="13" t="n">
        <v>411</v>
      </c>
      <c r="P58" s="17" t="n"/>
      <c r="Q58" s="13" t="n">
        <v>471</v>
      </c>
      <c r="R58" s="17" t="n"/>
      <c r="S58" s="13" t="n">
        <v>531</v>
      </c>
      <c r="T58" s="17" t="n"/>
      <c r="U58" s="16" t="n"/>
      <c r="V58" s="17" t="n"/>
    </row>
    <row r="59" ht="12.75" customHeight="1" s="110">
      <c r="C59" s="13" t="n">
        <v>52</v>
      </c>
      <c r="D59" s="17" t="n"/>
      <c r="E59" s="13" t="n">
        <v>112</v>
      </c>
      <c r="F59" s="17" t="n"/>
      <c r="G59" s="13" t="n">
        <v>172</v>
      </c>
      <c r="H59" s="17" t="n"/>
      <c r="I59" s="13" t="n">
        <v>232</v>
      </c>
      <c r="J59" s="17" t="n"/>
      <c r="K59" s="13" t="n">
        <v>292</v>
      </c>
      <c r="L59" s="17" t="n"/>
      <c r="M59" s="13" t="n">
        <v>352</v>
      </c>
      <c r="N59" s="17" t="n"/>
      <c r="O59" s="13" t="n">
        <v>412</v>
      </c>
      <c r="P59" s="17" t="n"/>
      <c r="Q59" s="13" t="n">
        <v>472</v>
      </c>
      <c r="R59" s="17" t="n"/>
      <c r="S59" s="13" t="n">
        <v>532</v>
      </c>
      <c r="T59" s="17" t="n"/>
      <c r="U59" s="16" t="n"/>
      <c r="V59" s="17" t="n"/>
    </row>
    <row r="60" ht="12.75" customHeight="1" s="110">
      <c r="C60" s="13" t="n">
        <v>53</v>
      </c>
      <c r="D60" s="17" t="n"/>
      <c r="E60" s="13" t="n">
        <v>113</v>
      </c>
      <c r="F60" s="17" t="n"/>
      <c r="G60" s="13" t="n">
        <v>173</v>
      </c>
      <c r="H60" s="17" t="n"/>
      <c r="I60" s="13" t="n">
        <v>233</v>
      </c>
      <c r="J60" s="17" t="n"/>
      <c r="K60" s="13" t="n">
        <v>293</v>
      </c>
      <c r="L60" s="17" t="n"/>
      <c r="M60" s="13" t="n">
        <v>353</v>
      </c>
      <c r="N60" s="17" t="n"/>
      <c r="O60" s="13" t="n">
        <v>413</v>
      </c>
      <c r="P60" s="17" t="n"/>
      <c r="Q60" s="13" t="n">
        <v>473</v>
      </c>
      <c r="R60" s="17" t="n"/>
      <c r="S60" s="13" t="n">
        <v>533</v>
      </c>
      <c r="T60" s="17" t="n"/>
      <c r="U60" s="16" t="n"/>
      <c r="V60" s="17" t="n"/>
    </row>
    <row r="61" ht="12.75" customHeight="1" s="110">
      <c r="C61" s="13" t="n">
        <v>54</v>
      </c>
      <c r="D61" s="17" t="n"/>
      <c r="E61" s="13" t="n">
        <v>114</v>
      </c>
      <c r="F61" s="17" t="n"/>
      <c r="G61" s="13" t="n">
        <v>174</v>
      </c>
      <c r="H61" s="17" t="n"/>
      <c r="I61" s="13" t="n">
        <v>234</v>
      </c>
      <c r="J61" s="17" t="n"/>
      <c r="K61" s="13" t="n">
        <v>294</v>
      </c>
      <c r="L61" s="17" t="n"/>
      <c r="M61" s="13" t="n">
        <v>354</v>
      </c>
      <c r="N61" s="17" t="n"/>
      <c r="O61" s="13" t="n">
        <v>414</v>
      </c>
      <c r="P61" s="17" t="n"/>
      <c r="Q61" s="13" t="n">
        <v>474</v>
      </c>
      <c r="R61" s="17" t="n"/>
      <c r="S61" s="13" t="n">
        <v>534</v>
      </c>
      <c r="T61" s="17" t="n"/>
      <c r="U61" s="16" t="n"/>
      <c r="V61" s="17" t="n"/>
    </row>
    <row r="62" ht="12.75" customHeight="1" s="110">
      <c r="C62" s="13" t="n">
        <v>55</v>
      </c>
      <c r="D62" s="17" t="n"/>
      <c r="E62" s="13" t="n">
        <v>115</v>
      </c>
      <c r="F62" s="17" t="n"/>
      <c r="G62" s="13" t="n">
        <v>175</v>
      </c>
      <c r="H62" s="17" t="n"/>
      <c r="I62" s="13" t="n">
        <v>235</v>
      </c>
      <c r="J62" s="17" t="n"/>
      <c r="K62" s="13" t="n">
        <v>295</v>
      </c>
      <c r="L62" s="17" t="n"/>
      <c r="M62" s="13" t="n">
        <v>355</v>
      </c>
      <c r="N62" s="17" t="n"/>
      <c r="O62" s="13" t="n">
        <v>415</v>
      </c>
      <c r="P62" s="17" t="n"/>
      <c r="Q62" s="13" t="n">
        <v>475</v>
      </c>
      <c r="R62" s="17" t="n"/>
      <c r="S62" s="13" t="n">
        <v>535</v>
      </c>
      <c r="T62" s="17" t="n"/>
      <c r="U62" s="16" t="n"/>
      <c r="V62" s="17" t="n"/>
    </row>
    <row r="63" ht="12.75" customHeight="1" s="110">
      <c r="C63" s="13" t="n">
        <v>56</v>
      </c>
      <c r="D63" s="17" t="n"/>
      <c r="E63" s="13" t="n">
        <v>116</v>
      </c>
      <c r="F63" s="17" t="n"/>
      <c r="G63" s="13" t="n">
        <v>176</v>
      </c>
      <c r="H63" s="17" t="n"/>
      <c r="I63" s="13" t="n">
        <v>236</v>
      </c>
      <c r="J63" s="17" t="n"/>
      <c r="K63" s="13" t="n">
        <v>296</v>
      </c>
      <c r="L63" s="17" t="n"/>
      <c r="M63" s="13" t="n">
        <v>356</v>
      </c>
      <c r="N63" s="17" t="n"/>
      <c r="O63" s="13" t="n">
        <v>416</v>
      </c>
      <c r="P63" s="17" t="n"/>
      <c r="Q63" s="13" t="n">
        <v>476</v>
      </c>
      <c r="R63" s="17" t="n"/>
      <c r="S63" s="13" t="n">
        <v>536</v>
      </c>
      <c r="T63" s="17" t="n"/>
      <c r="U63" s="16" t="n"/>
      <c r="V63" s="17" t="n"/>
    </row>
    <row r="64" ht="12.75" customHeight="1" s="110">
      <c r="C64" s="13" t="n">
        <v>57</v>
      </c>
      <c r="D64" s="17" t="n"/>
      <c r="E64" s="13" t="n">
        <v>117</v>
      </c>
      <c r="F64" s="17" t="n"/>
      <c r="G64" s="13" t="n">
        <v>177</v>
      </c>
      <c r="H64" s="17" t="n"/>
      <c r="I64" s="13" t="n">
        <v>237</v>
      </c>
      <c r="J64" s="17" t="n"/>
      <c r="K64" s="13" t="n">
        <v>297</v>
      </c>
      <c r="L64" s="17" t="n"/>
      <c r="M64" s="13" t="n">
        <v>357</v>
      </c>
      <c r="N64" s="17" t="n"/>
      <c r="O64" s="13" t="n">
        <v>417</v>
      </c>
      <c r="P64" s="17" t="n"/>
      <c r="Q64" s="13" t="n">
        <v>477</v>
      </c>
      <c r="R64" s="17" t="n"/>
      <c r="S64" s="13" t="n">
        <v>537</v>
      </c>
      <c r="T64" s="17" t="n"/>
      <c r="U64" s="16" t="n"/>
      <c r="V64" s="17" t="n"/>
    </row>
    <row r="65" ht="12.75" customHeight="1" s="110">
      <c r="C65" s="13" t="n">
        <v>58</v>
      </c>
      <c r="D65" s="17" t="n"/>
      <c r="E65" s="13" t="n">
        <v>118</v>
      </c>
      <c r="F65" s="17" t="n"/>
      <c r="G65" s="13" t="n">
        <v>178</v>
      </c>
      <c r="H65" s="17" t="n"/>
      <c r="I65" s="13" t="n">
        <v>238</v>
      </c>
      <c r="J65" s="17" t="n"/>
      <c r="K65" s="13" t="n">
        <v>298</v>
      </c>
      <c r="L65" s="17" t="n"/>
      <c r="M65" s="13" t="n">
        <v>358</v>
      </c>
      <c r="N65" s="17" t="n"/>
      <c r="O65" s="13" t="n">
        <v>418</v>
      </c>
      <c r="P65" s="17" t="n"/>
      <c r="Q65" s="13" t="n">
        <v>478</v>
      </c>
      <c r="R65" s="17" t="n"/>
      <c r="S65" s="13" t="n">
        <v>538</v>
      </c>
      <c r="T65" s="17" t="n"/>
      <c r="U65" s="16" t="n"/>
      <c r="V65" s="17" t="n"/>
    </row>
    <row r="66" ht="12.75" customHeight="1" s="110">
      <c r="C66" s="13" t="n">
        <v>59</v>
      </c>
      <c r="D66" s="17" t="n"/>
      <c r="E66" s="13" t="n">
        <v>119</v>
      </c>
      <c r="F66" s="17" t="n"/>
      <c r="G66" s="13" t="n">
        <v>179</v>
      </c>
      <c r="H66" s="17" t="n"/>
      <c r="I66" s="13" t="n">
        <v>239</v>
      </c>
      <c r="J66" s="17" t="n"/>
      <c r="K66" s="13" t="n">
        <v>299</v>
      </c>
      <c r="L66" s="17" t="n"/>
      <c r="M66" s="13" t="n">
        <v>359</v>
      </c>
      <c r="N66" s="17" t="n"/>
      <c r="O66" s="13" t="n">
        <v>419</v>
      </c>
      <c r="P66" s="17" t="n"/>
      <c r="Q66" s="13" t="n">
        <v>479</v>
      </c>
      <c r="R66" s="17" t="n"/>
      <c r="S66" s="13" t="n">
        <v>539</v>
      </c>
      <c r="T66" s="17" t="n"/>
      <c r="U66" s="16" t="n"/>
      <c r="V66" s="17" t="n"/>
    </row>
    <row r="67" ht="12.75" customHeight="1" s="110">
      <c r="C67" s="18" t="n">
        <v>60</v>
      </c>
      <c r="D67" s="21" t="n"/>
      <c r="E67" s="18" t="n">
        <v>120</v>
      </c>
      <c r="F67" s="21" t="n"/>
      <c r="G67" s="18" t="n">
        <v>180</v>
      </c>
      <c r="H67" s="21" t="n"/>
      <c r="I67" s="18" t="n">
        <v>240</v>
      </c>
      <c r="J67" s="21" t="n"/>
      <c r="K67" s="18" t="n">
        <v>300</v>
      </c>
      <c r="L67" s="21" t="n"/>
      <c r="M67" s="18" t="n">
        <v>360</v>
      </c>
      <c r="N67" s="21" t="n"/>
      <c r="O67" s="18" t="n">
        <v>420</v>
      </c>
      <c r="P67" s="21" t="n"/>
      <c r="Q67" s="18" t="n">
        <v>480</v>
      </c>
      <c r="R67" s="21" t="n"/>
      <c r="S67" s="18" t="n">
        <v>540</v>
      </c>
      <c r="T67" s="21" t="n"/>
      <c r="U67" s="20" t="n"/>
      <c r="V67" s="21" t="n"/>
    </row>
    <row r="68" ht="12.75" customHeight="1" s="110">
      <c r="C68" s="22" t="n"/>
      <c r="D68" s="22" t="n"/>
      <c r="E68" s="22" t="n"/>
      <c r="F68" s="22" t="n"/>
      <c r="G68" s="22" t="n"/>
      <c r="H68" s="22" t="n"/>
      <c r="I68" s="22" t="n"/>
      <c r="J68" s="23" t="n"/>
      <c r="K68" s="22" t="n"/>
      <c r="L68" s="23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</row>
    <row r="69" ht="12.75" customHeight="1" s="110"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  <c r="AH69" s="24" t="n"/>
      <c r="AI69" s="24" t="n"/>
      <c r="AJ69" s="24" t="n"/>
      <c r="AK69" s="24" t="n"/>
    </row>
    <row r="70" ht="12.75" customHeight="1" s="110">
      <c r="B70" s="24" t="n"/>
      <c r="C70" s="25" t="inlineStr">
        <is>
          <t xml:space="preserve"> </t>
        </is>
      </c>
      <c r="D70" s="25" t="n"/>
      <c r="E70" s="25" t="n"/>
      <c r="F70" s="25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</row>
    <row r="71" ht="12.75" customHeight="1" s="110">
      <c r="B71" s="24" t="n"/>
      <c r="C71" s="25" t="inlineStr">
        <is>
          <t>Escalas de validación</t>
        </is>
      </c>
      <c r="D71" s="25" t="n"/>
      <c r="E71" s="25" t="n"/>
      <c r="F71" s="25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5" t="inlineStr">
        <is>
          <t>S.P.</t>
        </is>
      </c>
      <c r="V71" s="24" t="inlineStr">
        <is>
          <t>P.D.</t>
        </is>
      </c>
      <c r="W71" s="24" t="inlineStr">
        <is>
          <t>FRAC. K</t>
        </is>
      </c>
      <c r="X71" s="24" t="inlineStr">
        <is>
          <t>P.CORR.</t>
        </is>
      </c>
      <c r="Y71" s="25" t="inlineStr">
        <is>
          <t>P.DIRECTAS</t>
        </is>
      </c>
      <c r="Z71" s="25" t="inlineStr">
        <is>
          <t>P.TIPICAS</t>
        </is>
      </c>
      <c r="AA71" s="24" t="n"/>
      <c r="AB71" s="24" t="n"/>
      <c r="AC71" s="24" t="n"/>
      <c r="AD71" s="24" t="n"/>
      <c r="AE71" s="24" t="n"/>
      <c r="AF71" s="24" t="n"/>
      <c r="AG71" s="24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</row>
    <row r="72" ht="12.75" customHeight="1" s="110">
      <c r="B72" s="24" t="n"/>
      <c r="C72" s="24" t="inlineStr">
        <is>
          <t>?</t>
        </is>
      </c>
      <c r="D72" s="24">
        <f>COUNTIF(D8:D67,"=3")</f>
        <v/>
      </c>
      <c r="E72" s="24" t="n"/>
      <c r="F72" s="24">
        <f>COUNTIF(F8:F67,"=3")</f>
        <v/>
      </c>
      <c r="G72" s="24" t="n"/>
      <c r="H72" s="24">
        <f>COUNTIF(H8:H67,"=3")</f>
        <v/>
      </c>
      <c r="I72" s="24" t="n"/>
      <c r="J72" s="24" t="n"/>
      <c r="K72" s="24" t="n"/>
      <c r="L72" s="24">
        <f>COUNTIF(L8:L67,"=3")</f>
        <v/>
      </c>
      <c r="M72" s="24" t="n"/>
      <c r="N72" s="24">
        <f>COUNTIF(N8:N67,"=3")</f>
        <v/>
      </c>
      <c r="O72" s="24" t="n"/>
      <c r="P72" s="24">
        <f>COUNTIF(P8:P67,"=3")</f>
        <v/>
      </c>
      <c r="Q72" s="24" t="n"/>
      <c r="R72" s="24">
        <f>COUNTIF(R8:R67,"=3")</f>
        <v/>
      </c>
      <c r="S72" s="24">
        <f>COUNTIF(T8:T67,"=3")</f>
        <v/>
      </c>
      <c r="T72" s="24">
        <f>COUNTIF(V8:V67,"=3")</f>
        <v/>
      </c>
      <c r="U72" s="25" t="n"/>
      <c r="V72" s="24">
        <f>SUM(D72:T72)</f>
        <v/>
      </c>
      <c r="W72" s="24" t="n"/>
      <c r="X72" s="24" t="n"/>
      <c r="Y72" s="25">
        <f>SUM(V72)</f>
        <v/>
      </c>
      <c r="Z72" s="25">
        <f>IF(D154&lt;&gt;0,D154,IF(E154&lt;&gt;0,E154,IF(F154&lt;&gt;0,F154,IF(G154&lt;&gt;0,G154,IF(H154&lt;&gt;0,H154,0)))))</f>
        <v/>
      </c>
      <c r="AA72" s="24" t="n"/>
      <c r="AB72" s="24" t="n"/>
      <c r="AC72" s="24" t="n"/>
      <c r="AD72" s="24" t="n"/>
      <c r="AE72" s="24" t="n"/>
      <c r="AF72" s="24" t="n"/>
      <c r="AG72" s="24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</row>
    <row r="73" ht="12.75" customHeight="1" s="110">
      <c r="B73" s="24" t="n"/>
      <c r="C73" s="24" t="inlineStr">
        <is>
          <t>L</t>
        </is>
      </c>
      <c r="D73" s="24">
        <f>IF(D23=1,0,IF(D23=2,1,0))</f>
        <v/>
      </c>
      <c r="E73" s="24">
        <f>IF(D36=1,0,IF(D36=2,1,0))</f>
        <v/>
      </c>
      <c r="F73" s="24">
        <f>IF(D48=1,0,IF(D48=2,1,0))</f>
        <v/>
      </c>
      <c r="G73" s="24">
        <f>IF(D58=1,0,IF(D58=2,1,0))</f>
        <v/>
      </c>
      <c r="H73" s="24">
        <f>IF(F24=1,0,IF(F24=2,1,0))</f>
        <v/>
      </c>
      <c r="I73" s="24">
        <f>IF(F40=1,0,IF(F40=2,1,0))</f>
        <v/>
      </c>
      <c r="J73" s="24">
        <f>IF(F49=1,0,IF(F49=2,1,0))</f>
        <v/>
      </c>
      <c r="K73" s="24">
        <f>IF(F54=1,0,IF(F54=2,1,0))</f>
        <v/>
      </c>
      <c r="L73" s="24">
        <f>IF(H10=1,0,IF(H10=2,1,0))</f>
        <v/>
      </c>
      <c r="M73" s="24">
        <f>IF(H26=1,0,IF(H26=2,1,0))</f>
        <v/>
      </c>
      <c r="N73" s="24">
        <f>IF(H40=1,0,IF(H40=2,1,0))</f>
        <v/>
      </c>
      <c r="O73" s="24">
        <f>IF(J10=1,0,IF(J10=2,1,0))</f>
        <v/>
      </c>
      <c r="P73" s="24">
        <f>IF(J30=1,0,IF(J30=2,1,0))</f>
        <v/>
      </c>
      <c r="Q73" s="24">
        <f>IF(J59=1,0,IF(J59=2,1,0))</f>
        <v/>
      </c>
      <c r="R73" s="24">
        <f>IF(L27=1,0,IF(L27=2,1,0))</f>
        <v/>
      </c>
      <c r="S73" s="24" t="n"/>
      <c r="T73" s="24" t="n"/>
      <c r="U73" s="25" t="n"/>
      <c r="V73" s="24">
        <f>SUM(D73:R73)</f>
        <v/>
      </c>
      <c r="W73" s="24" t="n"/>
      <c r="X73" s="24" t="n"/>
      <c r="Y73" s="25">
        <f>SUM(V73)</f>
        <v/>
      </c>
      <c r="Z73" s="25">
        <f>IF(D155&lt;&gt;0,D155,IF(E155&lt;&gt;0,E155,IF(F155&lt;&gt;0,F155)))</f>
        <v/>
      </c>
      <c r="AA73" s="24" t="n"/>
      <c r="AB73" s="24" t="n"/>
      <c r="AC73" s="24" t="n"/>
      <c r="AD73" s="24" t="n"/>
      <c r="AE73" s="24" t="n"/>
      <c r="AF73" s="24" t="n"/>
      <c r="AG73" s="24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</row>
    <row r="74" ht="12.75" customHeight="1" s="110">
      <c r="B74" s="24" t="n"/>
      <c r="C74" s="24" t="inlineStr">
        <is>
          <t>F</t>
        </is>
      </c>
      <c r="D74" s="24">
        <f>IF(D13=1,0,IF(D13=2,1,0))</f>
        <v/>
      </c>
      <c r="E74" s="24">
        <f>IF(D19=1,0,IF(D19=2,1,0))</f>
        <v/>
      </c>
      <c r="F74" s="24">
        <f>IF(D25=1,1,IF(D25=2,0,0))</f>
        <v/>
      </c>
      <c r="G74" s="24">
        <f>IF(D31=1,1,IF(D31=2,0,0))</f>
        <v/>
      </c>
      <c r="H74" s="24">
        <f>IF(D37=1,1,IF(D37=2,0,0))</f>
        <v/>
      </c>
      <c r="I74" s="24">
        <f>IF(D43=1,1,IF(D43=2,0,0))</f>
        <v/>
      </c>
      <c r="J74" s="24">
        <f>IF(D49=1,1,IF(D49=2,0,0))</f>
        <v/>
      </c>
      <c r="K74" s="24">
        <f>IF(D55=1,1,IF(D55=2,0,0))</f>
        <v/>
      </c>
      <c r="L74" s="24">
        <f>IF(D61=1,1,IF(D61=2,0,0))</f>
        <v/>
      </c>
      <c r="M74" s="24">
        <f>IF(D67=1,1,IF(D67=2,0,0))</f>
        <v/>
      </c>
      <c r="N74" s="24">
        <f>IF(F13=1,1,IF(F13=2,0,0))</f>
        <v/>
      </c>
      <c r="O74" s="24">
        <f>IF(F19=1,1,IF(F19=2,0,0))</f>
        <v/>
      </c>
      <c r="P74" s="24">
        <f>IF(F25=1,0,IF(F25=2,1,0))</f>
        <v/>
      </c>
      <c r="Q74" s="24">
        <f>IF(F31=1,1,IF(F31=2,0,0))</f>
        <v/>
      </c>
      <c r="R74" s="24">
        <f>IF(F37=1,0,IF(F37=2,1,0))</f>
        <v/>
      </c>
      <c r="S74" s="24">
        <f>IF(F43=1,1,IF(F43=2,0,0))</f>
        <v/>
      </c>
      <c r="T74" s="24">
        <f>IF(F49=1,0,IF(F49=2,1,0))</f>
        <v/>
      </c>
      <c r="U74" s="25">
        <f>SUM(D74:T74)</f>
        <v/>
      </c>
      <c r="V74" s="24" t="n"/>
      <c r="W74" s="24" t="n"/>
      <c r="X74" s="24" t="n"/>
      <c r="Y74" s="25" t="n"/>
      <c r="Z74" s="25" t="n"/>
      <c r="AA74" s="24" t="n"/>
      <c r="AB74" s="24" t="n"/>
      <c r="AC74" s="24" t="n"/>
      <c r="AD74" s="24" t="n"/>
      <c r="AE74" s="24" t="n"/>
      <c r="AF74" s="24" t="n"/>
      <c r="AG74" s="24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</row>
    <row r="75" ht="12.75" customHeight="1" s="110">
      <c r="B75" s="24" t="n"/>
      <c r="C75" s="24" t="n"/>
      <c r="D75" s="24">
        <f>IF(F55=1,0,IF(F55=2,1,0))</f>
        <v/>
      </c>
      <c r="E75" s="24">
        <f>IF(F61=1,1,IF(F61=2,0,0))</f>
        <v/>
      </c>
      <c r="F75" s="24">
        <f>IF(F67=1,0,IF(F67=2,1,0))</f>
        <v/>
      </c>
      <c r="G75" s="24">
        <f>IF(H13=1,0,IF(H13=2,1,0))</f>
        <v/>
      </c>
      <c r="H75" s="24">
        <f>IF(H19=1,0,IF(H19=2,1,0))</f>
        <v/>
      </c>
      <c r="I75" s="24">
        <f>IF(H25=1,1,IF(H25=2,0,0))</f>
        <v/>
      </c>
      <c r="J75" s="24">
        <f>IF(H31=1,1,IF(H31=2,0,0))</f>
        <v/>
      </c>
      <c r="K75" s="24">
        <f>IF(H37=1,1,IF(H37=2,0,0))</f>
        <v/>
      </c>
      <c r="L75" s="24">
        <f>IF(H43=1,1,IF(H43=2,0,0))</f>
        <v/>
      </c>
      <c r="M75" s="24">
        <f>IF(H49=1,1,IF(H49=2,0,0))</f>
        <v/>
      </c>
      <c r="N75" s="24">
        <f>IF(H55=1,1,IF(H55=2,0,0))</f>
        <v/>
      </c>
      <c r="O75" s="24">
        <f>IF(H61=1,0,IF(H61=2,1,0))</f>
        <v/>
      </c>
      <c r="P75" s="24">
        <f>IF(H67=1,1,IF(H67=2,0,0))</f>
        <v/>
      </c>
      <c r="Q75" s="24">
        <f>IF(J13=1,0,IF(J13=2,1,0))</f>
        <v/>
      </c>
      <c r="R75" s="24">
        <f>IF(J19=1,0,IF(J19=2,1,0))</f>
        <v/>
      </c>
      <c r="S75" s="24">
        <f>IF(J25=1,1,IF(J25=2,0,0))</f>
        <v/>
      </c>
      <c r="T75" s="24">
        <f>IF(J31=1,0,IF(J31=2,1,0))</f>
        <v/>
      </c>
      <c r="U75" s="25">
        <f>SUM(D75:T75)</f>
        <v/>
      </c>
      <c r="V75" s="24" t="n"/>
      <c r="W75" s="24" t="n"/>
      <c r="X75" s="24" t="n"/>
      <c r="Y75" s="25" t="n"/>
      <c r="Z75" s="25" t="n"/>
      <c r="AA75" s="24" t="n"/>
      <c r="AB75" s="24" t="n"/>
      <c r="AC75" s="24" t="n"/>
      <c r="AD75" s="24" t="n"/>
      <c r="AE75" s="24" t="n"/>
      <c r="AF75" s="24" t="n"/>
      <c r="AG75" s="24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</row>
    <row r="76" ht="12.75" customHeight="1" s="110">
      <c r="B76" s="24" t="n"/>
      <c r="C76" s="24" t="n"/>
      <c r="D76" s="24">
        <f>IF(J37=1,0,IF(J37=2,1,0))</f>
        <v/>
      </c>
      <c r="E76" s="24">
        <f>IF(J43=1,1,IF(J43=2,0,0))</f>
        <v/>
      </c>
      <c r="F76" s="24">
        <f>IF(J49=1,0,IF(J48=2,1,0))</f>
        <v/>
      </c>
      <c r="G76" s="24">
        <f>IF(J55=1,1,IF(J55=2,0,0))</f>
        <v/>
      </c>
      <c r="H76" s="24">
        <f>IF(J61=1,1,IF(J61=2,0,0))</f>
        <v/>
      </c>
      <c r="I76" s="24">
        <f>IF(J67=1,1,IF(J67=2,0,0))</f>
        <v/>
      </c>
      <c r="J76" s="24">
        <f>IF(L13=1,1,IF(L43=2,0,0))</f>
        <v/>
      </c>
      <c r="K76" s="24">
        <f>IF(L19=1,1,IF(L19=2,0,0))</f>
        <v/>
      </c>
      <c r="L76" s="24">
        <f>IF(L25=1,1,IF(L25=2,0,0))</f>
        <v/>
      </c>
      <c r="M76" s="24">
        <f>IF(L31=1,1,IF(L31=2,0,0))</f>
        <v/>
      </c>
      <c r="N76" s="24">
        <f>IF(L37=1,1,IF(L37=2,0,0))</f>
        <v/>
      </c>
      <c r="O76" s="24">
        <f>IF(L43=1,0,IF(L43=2,1,0))</f>
        <v/>
      </c>
      <c r="P76" s="24">
        <f>IF(L49=1,1,IF(L49=2,0,0))</f>
        <v/>
      </c>
      <c r="Q76" s="24">
        <f>IF(L55=1,1,IF(L55=2,0,0))</f>
        <v/>
      </c>
      <c r="R76" s="24">
        <f>IF(L61=1,1,IF(L61=2,0,0))</f>
        <v/>
      </c>
      <c r="S76" s="24">
        <f>IF(L67=1,1,IF(L67=2,0,0))</f>
        <v/>
      </c>
      <c r="T76" s="24">
        <f>IF(N13=1,1,IF(N13=2,0,0))</f>
        <v/>
      </c>
      <c r="U76" s="25">
        <f>SUM(D76:T76)</f>
        <v/>
      </c>
      <c r="V76" s="24" t="n"/>
      <c r="W76" s="24" t="n"/>
      <c r="X76" s="24" t="n"/>
      <c r="Y76" s="25" t="n"/>
      <c r="Z76" s="25" t="n"/>
      <c r="AA76" s="24" t="n"/>
      <c r="AB76" s="24" t="n"/>
      <c r="AC76" s="24" t="n"/>
      <c r="AD76" s="24" t="n"/>
      <c r="AE76" s="24" t="n"/>
      <c r="AF76" s="24" t="n"/>
      <c r="AG76" s="24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</row>
    <row r="77" ht="12.75" customHeight="1" s="110">
      <c r="B77" s="24" t="n"/>
      <c r="C77" s="24" t="n"/>
      <c r="D77" s="24">
        <f>IF(N19=1,1,IF(N19=2,0,0))</f>
        <v/>
      </c>
      <c r="E77" s="24">
        <f>IF(N25=1,0,IF(N25=2,0,0))</f>
        <v/>
      </c>
      <c r="F77" s="24">
        <f>IF(N31=1,1,IF(N31=2,0,0))</f>
        <v/>
      </c>
      <c r="G77" s="24">
        <f>IF(N37=1,0,IF(N37=2,1,0))</f>
        <v/>
      </c>
      <c r="H77" s="24">
        <f>IF(N43=1,1,IF(N43=2,0,0))</f>
        <v/>
      </c>
      <c r="I77" s="24">
        <f>IF(N50=1,0,IF(N50=2,1,0))</f>
        <v/>
      </c>
      <c r="J77" s="24">
        <f>IF(N56=1,1,IF(N56=2,0,0))</f>
        <v/>
      </c>
      <c r="K77" s="24">
        <f>IF(N62=1,1,IF(N62=2,0,0))</f>
        <v/>
      </c>
      <c r="L77" s="24">
        <f>IF(P8=1,1,IF(P8=2,0,0))</f>
        <v/>
      </c>
      <c r="M77" s="24" t="n"/>
      <c r="N77" s="24" t="n"/>
      <c r="O77" s="24" t="n"/>
      <c r="P77" s="24" t="n"/>
      <c r="Q77" s="24" t="n"/>
      <c r="R77" s="24" t="n"/>
      <c r="S77" s="24" t="n"/>
      <c r="T77" s="24" t="n"/>
      <c r="U77" s="25">
        <f>SUM(D77:T77)</f>
        <v/>
      </c>
      <c r="V77" s="24">
        <f>SUM(U74:U77)</f>
        <v/>
      </c>
      <c r="W77" s="24" t="n"/>
      <c r="X77" s="24" t="n"/>
      <c r="Y77" s="25">
        <f>SUM(V77)</f>
        <v/>
      </c>
      <c r="Z77" s="25">
        <f>IF(D156&lt;&gt;0,D156,IF(E156&lt;&gt;0,E156,IF(F156&lt;&gt;0,F156,IF(G156&lt;&gt;0,G156,IF(H156&lt;&gt;0,H156,IF(I156&lt;&gt;0,I156,IF(J156&lt;&gt;0,J156,0)))))))</f>
        <v/>
      </c>
      <c r="AA77" s="24" t="n"/>
      <c r="AB77" s="24" t="n"/>
      <c r="AC77" s="24" t="n"/>
      <c r="AD77" s="24" t="n"/>
      <c r="AE77" s="24" t="n"/>
      <c r="AF77" s="24" t="n"/>
      <c r="AG77" s="24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</row>
    <row r="78" ht="12.75" customHeight="1" s="110">
      <c r="B78" s="24" t="n"/>
      <c r="C78" s="24" t="inlineStr">
        <is>
          <t>K</t>
        </is>
      </c>
      <c r="D78" s="24">
        <f>IF(D36=1,0,IF(D36=2,1,0))</f>
        <v/>
      </c>
      <c r="E78" s="24">
        <f>IF(D44=1,0,IF(D44=2,1,0))</f>
        <v/>
      </c>
      <c r="F78" s="24">
        <f>IF(D65=1,0,IF(D65=2,1,0))</f>
        <v/>
      </c>
      <c r="G78" s="24">
        <f>IF(F23=1,0,IF(F23=2,1,0))</f>
        <v/>
      </c>
      <c r="H78" s="24">
        <f>IF(F30=1,1,IF(F30=2,0,0))</f>
        <v/>
      </c>
      <c r="I78" s="24">
        <f>IF(F57=1,0,IF(F57=2,1,0))</f>
        <v/>
      </c>
      <c r="J78" s="24">
        <f>IF(F63=1,0,IF(F63=2,1,0))</f>
        <v/>
      </c>
      <c r="K78" s="24">
        <f>IF(H9=1,0,IF(H9=2,1,0))</f>
        <v/>
      </c>
      <c r="L78" s="24">
        <f>IF(H14=1,0,IF(H14=2,1,0))</f>
        <v/>
      </c>
      <c r="M78" s="24">
        <f>IF(H17=1,0,IF(H17=2,1,0))</f>
        <v/>
      </c>
      <c r="N78" s="24">
        <f>IF(H23=1,0,IF(H23=2,1,0))</f>
        <v/>
      </c>
      <c r="O78" s="24">
        <f>IF(H35=1,0,IF(H35=2,1,0))</f>
        <v/>
      </c>
      <c r="P78" s="24">
        <f>IF(H44=1,0,IF(H44=2,1,0))</f>
        <v/>
      </c>
      <c r="Q78" s="24">
        <f>IF(H45=1,0,IF(H45=2,1,0))</f>
        <v/>
      </c>
      <c r="R78" s="24">
        <f>IF(H54=1,0,IF(H54=2,1,0))</f>
        <v/>
      </c>
      <c r="S78" s="24">
        <f>IF(H58=1,0,IF(H58=2,1,0))</f>
        <v/>
      </c>
      <c r="T78" s="24">
        <f>IF(J23=1,0,IF(J23=2,1,0))</f>
        <v/>
      </c>
      <c r="U78" s="25">
        <f>SUM(D78:T78)</f>
        <v/>
      </c>
      <c r="V78" s="24" t="n"/>
      <c r="W78" s="24" t="n"/>
      <c r="X78" s="24" t="n"/>
      <c r="Y78" s="25" t="n"/>
      <c r="Z78" s="25" t="n"/>
      <c r="AA78" s="24" t="n"/>
      <c r="AB78" s="24" t="n"/>
      <c r="AC78" s="24" t="n"/>
      <c r="AD78" s="24" t="n"/>
      <c r="AE78" s="24" t="n"/>
      <c r="AF78" s="24" t="n"/>
      <c r="AG78" s="24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</row>
    <row r="79" ht="12.75" customHeight="1" s="110">
      <c r="B79" s="24" t="n"/>
      <c r="C79" s="24" t="n"/>
      <c r="D79" s="24">
        <f>IF(J40=1,0,IF(J40=2,1,0))</f>
        <v/>
      </c>
      <c r="E79" s="24">
        <f>IF(L10=1,0,IF(L10=2,1,0))</f>
        <v/>
      </c>
      <c r="F79" s="24">
        <f>IF(L34=1,0,IF(L34=2,1,0))</f>
        <v/>
      </c>
      <c r="G79" s="24">
        <f>IF(L51=1,0,IF(L51=2,1,0))</f>
        <v/>
      </c>
      <c r="H79" s="24">
        <f>IF(L57=1,0,IF(L57=2,1,0))</f>
        <v/>
      </c>
      <c r="I79" s="24">
        <f>IF(N37=1,0,IF(N37=2,1,0))</f>
        <v/>
      </c>
      <c r="J79" s="24">
        <f>IF(N45=1,0,IF(N45=2,1,0))</f>
        <v/>
      </c>
      <c r="K79" s="24">
        <f>IF(N46=1,0,IF(N46=2,1,0))</f>
        <v/>
      </c>
      <c r="L79" s="24">
        <f>IF(N48=1,0,IF(N48=2,1,0))</f>
        <v/>
      </c>
      <c r="M79" s="24">
        <f>IF(N53=1,0,IF(N53=2,1,0))</f>
        <v/>
      </c>
      <c r="N79" s="24">
        <f>IF(N55=1,0,IF(N55=2,1,0))</f>
        <v/>
      </c>
      <c r="O79" s="24">
        <f>IF(N63=1,0,IF(N63=2,1,0))</f>
        <v/>
      </c>
      <c r="P79" s="24">
        <f>IF(P12=1,0,IF(P12=2,1,0))</f>
        <v/>
      </c>
      <c r="Q79" s="24" t="n"/>
      <c r="R79" s="24" t="n"/>
      <c r="S79" s="24" t="n"/>
      <c r="T79" s="24" t="n"/>
      <c r="U79" s="25">
        <f>SUM(D79:T79)</f>
        <v/>
      </c>
      <c r="V79" s="24">
        <f>SUM(U78:U79)</f>
        <v/>
      </c>
      <c r="W79" s="24" t="n"/>
      <c r="X79" s="24" t="n"/>
      <c r="Y79" s="25">
        <f>SUM(V79)</f>
        <v/>
      </c>
      <c r="Z79" s="25">
        <f>IF(D157&lt;&gt;0,D157,IF(E157&lt;&gt;0,E157,IF(F157&lt;&gt;0,F157,IF(G157&lt;&gt;0,G157,0))))</f>
        <v/>
      </c>
      <c r="AA79" s="24" t="n"/>
      <c r="AB79" s="24" t="n"/>
      <c r="AC79" s="24" t="n"/>
      <c r="AD79" s="24" t="n"/>
      <c r="AE79" s="24" t="n"/>
      <c r="AF79" s="24" t="n"/>
      <c r="AG79" s="24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</row>
    <row r="80" ht="12.75" customHeight="1" s="110">
      <c r="B80" s="24" t="n"/>
      <c r="C80" s="25" t="inlineStr">
        <is>
          <t>Escalas clínicas básicas</t>
        </is>
      </c>
      <c r="D80" s="25" t="n"/>
      <c r="E80" s="25" t="n"/>
      <c r="F80" s="25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5" t="n"/>
      <c r="V80" s="24" t="n"/>
      <c r="W80" s="24" t="n"/>
      <c r="X80" s="24" t="n"/>
      <c r="Y80" s="25" t="n"/>
      <c r="Z80" s="25" t="n"/>
      <c r="AA80" s="24" t="n"/>
      <c r="AB80" s="24" t="n"/>
      <c r="AC80" s="24" t="n"/>
      <c r="AD80" s="24" t="n"/>
      <c r="AE80" s="24" t="n"/>
      <c r="AF80" s="24" t="n"/>
      <c r="AG80" s="24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</row>
    <row r="81" ht="12.75" customHeight="1" s="110">
      <c r="B81" s="24" t="n"/>
      <c r="C81" s="24" t="inlineStr">
        <is>
          <t>Hs</t>
        </is>
      </c>
      <c r="D81" s="24">
        <f>IF(D9=1,0,IF(D9=2,1,0))</f>
        <v/>
      </c>
      <c r="E81" s="24">
        <f>IF(D10=1,0,IF(D10=2,1,0))</f>
        <v/>
      </c>
      <c r="F81" s="24">
        <f>IF(D15=1,0,IF(D15=2,1,0))</f>
        <v/>
      </c>
      <c r="G81" s="24">
        <f>IF(D17=1,0,IF(D17=2,1,0))</f>
        <v/>
      </c>
      <c r="H81" s="24">
        <f>IF(D25=1,1,IF(D25=2,0,0))</f>
        <v/>
      </c>
      <c r="I81" s="24">
        <f>IF(D27=1,0,IF(D27=2,1,0))</f>
        <v/>
      </c>
      <c r="J81" s="24">
        <f>IF(D35=1,1,IF(D35=2,0,0))</f>
        <v/>
      </c>
      <c r="K81" s="24">
        <f>IF(D46=1,1,IF(D46=2,0,0))</f>
        <v/>
      </c>
      <c r="L81" s="24">
        <f>IF(D52=1,0,IF(D52=2,1,0))</f>
        <v/>
      </c>
      <c r="M81" s="24">
        <f>IF(D54=1,0,IF(D54=2,1,0))</f>
        <v/>
      </c>
      <c r="N81" s="24">
        <f>IF(D60=1,1,IF(D60=2,0,0))</f>
        <v/>
      </c>
      <c r="O81" s="24">
        <f>IF(D64=1,0,IF(D64=2,1,0))</f>
        <v/>
      </c>
      <c r="P81" s="24">
        <f>IF(D66=1,1,IF(D66=2,0,0))</f>
        <v/>
      </c>
      <c r="Q81" s="24">
        <f>IF(F38=1,0,IF(F38=2,1,0))</f>
        <v/>
      </c>
      <c r="R81" s="24">
        <f>IF(F44=1,1,IF(F44=2,0,0))</f>
        <v/>
      </c>
      <c r="S81" s="24">
        <f>IF(F48=1,1,IF(F48=2,0,0))</f>
        <v/>
      </c>
      <c r="T81" s="24">
        <f>IF(F58=1,1,IF(F58=2,0,0))</f>
        <v/>
      </c>
      <c r="U81" s="25">
        <f>SUM(D81:T81)</f>
        <v/>
      </c>
      <c r="V81" s="24" t="n"/>
      <c r="W81" s="24" t="n"/>
      <c r="X81" s="24" t="n"/>
      <c r="Y81" s="25" t="n"/>
      <c r="Z81" s="25" t="n"/>
      <c r="AA81" s="24" t="n"/>
      <c r="AB81" s="24" t="n"/>
      <c r="AC81" s="24" t="n"/>
      <c r="AD81" s="24" t="n"/>
      <c r="AE81" s="24" t="n"/>
      <c r="AF81" s="24" t="n"/>
      <c r="AG81" s="24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</row>
    <row r="82" ht="12.75" customHeight="1" s="110">
      <c r="B82" s="24" t="n"/>
      <c r="C82" s="24" t="n"/>
      <c r="D82" s="24">
        <f>IF(F64=1,0,IF(F64=2,1,0))</f>
        <v/>
      </c>
      <c r="E82" s="24">
        <f>IF(H28=1,0,IF(H28=2,1,0))</f>
        <v/>
      </c>
      <c r="F82" s="24">
        <f>IF(H30=1,0,IF(H30=2,1,0))</f>
        <v/>
      </c>
      <c r="G82" s="24">
        <f>IF(H36=1,1,IF(H36=2,0,0))</f>
        <v/>
      </c>
      <c r="H82" s="24">
        <f>IF(H39=1,0,IF(H39=2,1,0))</f>
        <v/>
      </c>
      <c r="I82" s="24">
        <f>IF(H51=1,0,IF(H51=2,1,0))</f>
        <v/>
      </c>
      <c r="J82" s="24">
        <f>IF(H60=1,0,IF(H60=2,1,0))</f>
        <v/>
      </c>
      <c r="K82" s="24">
        <f>IF(H62=1,1,IF(H62=2,0,0))</f>
        <v/>
      </c>
      <c r="L82" s="24">
        <f>IF(H63=1,0,IF(H63=2,1,0))</f>
        <v/>
      </c>
      <c r="M82" s="24">
        <f>IF(H66=1,0,IF(H66=2,1,0))</f>
        <v/>
      </c>
      <c r="N82" s="24">
        <f>IF(J35=1,0,IF(J35=2,1,0))</f>
        <v/>
      </c>
      <c r="O82" s="24">
        <f>IF(J51=1,0,IF(J51=2,1,0))</f>
        <v/>
      </c>
      <c r="P82" s="24">
        <f>IF(L14=1,1,IF(L14=2,0,0))</f>
        <v/>
      </c>
      <c r="Q82" s="24">
        <f>IF(L16=1,0,IF(L16=2,1,0))</f>
        <v/>
      </c>
      <c r="R82" s="24">
        <f>IF(L22=1,0,IF(L22=2,1,0))</f>
        <v/>
      </c>
      <c r="S82" s="24" t="n"/>
      <c r="T82" s="24" t="n"/>
      <c r="U82" s="25">
        <f>SUM(D82:T82)</f>
        <v/>
      </c>
      <c r="V82" s="24">
        <f>SUM(U81:U82)</f>
        <v/>
      </c>
      <c r="W82" s="24">
        <f>V79*0.5</f>
        <v/>
      </c>
      <c r="X82" s="24">
        <f>SUM(V82+X160)</f>
        <v/>
      </c>
      <c r="Y82" s="25">
        <f>SUM(X82)</f>
        <v/>
      </c>
      <c r="Z82" s="25">
        <f>IF(D158&lt;&gt;0,D158,IF(E158&lt;&gt;0,E158,IF(F158&lt;&gt;0,F158,IF(G158&lt;&gt;0,G158,IF(H158&lt;&gt;0,H158,0)))))</f>
        <v/>
      </c>
      <c r="AA82" s="24" t="n"/>
      <c r="AB82" s="24" t="n"/>
      <c r="AC82" s="24" t="n"/>
      <c r="AD82" s="24" t="n"/>
      <c r="AE82" s="24" t="n"/>
      <c r="AF82" s="24" t="n"/>
      <c r="AG82" s="24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</row>
    <row r="83" ht="12.75" customHeight="1" s="110">
      <c r="B83" s="24" t="n"/>
      <c r="C83" s="24" t="inlineStr">
        <is>
          <t>D</t>
        </is>
      </c>
      <c r="D83" s="24">
        <f>IF(D9=1,0,IF(D9=2,1,0))</f>
        <v/>
      </c>
      <c r="E83" s="24">
        <f>IF(D12=1,1,IF(D12=2,0,0))</f>
        <v/>
      </c>
      <c r="F83" s="24">
        <f>IF(D16=1,0,IF(D16=2,1,0))</f>
        <v/>
      </c>
      <c r="G83" s="24">
        <f>IF(D17=1,0,IF(D17=2,1,0))</f>
        <v/>
      </c>
      <c r="H83" s="24">
        <f>IF(D22=1,1,IF(D22=2,0,0))</f>
        <v/>
      </c>
      <c r="I83" s="24">
        <f>IF(D26=1,1,IF(D26=2,0,0))</f>
        <v/>
      </c>
      <c r="J83" s="24">
        <f>IF(D27=1,0,IF(D27=2,1,0))</f>
        <v/>
      </c>
      <c r="K83" s="24">
        <f>IF(D36=1,0,IF(D36=2,1,0))</f>
        <v/>
      </c>
      <c r="L83" s="24">
        <f>IF(D38=1,1,IF(D38=2,0,0))</f>
        <v/>
      </c>
      <c r="M83" s="24">
        <f>IF(D40=1,0,IF(D40=2,1,0))</f>
        <v/>
      </c>
      <c r="N83" s="24">
        <f>IF(D44=1,0,IF(D44=2,1,0))</f>
        <v/>
      </c>
      <c r="O83" s="24">
        <f>IF(D45=1,1,IF(D45=2,0))</f>
        <v/>
      </c>
      <c r="P83" s="24">
        <f>IF(D46=1,1,IF(D46=2,0,0))</f>
        <v/>
      </c>
      <c r="Q83" s="24">
        <f>IF(D50=1,0,IF(D50=2,1,0))</f>
        <v/>
      </c>
      <c r="R83" s="24">
        <f>IF(D52=1,0,IF(D52=2,1,0))</f>
        <v/>
      </c>
      <c r="S83" s="24">
        <f>IF(D53=1,1,IF(D53=2,0,0))</f>
        <v/>
      </c>
      <c r="T83" s="24">
        <f>IF(D56=1,0,IF(D56=2,1,0))</f>
        <v/>
      </c>
      <c r="U83" s="25">
        <f>SUM(D83:T83)</f>
        <v/>
      </c>
      <c r="V83" s="24" t="n"/>
      <c r="W83" s="24" t="n"/>
      <c r="X83" s="24" t="n"/>
      <c r="Y83" s="25" t="n"/>
      <c r="Z83" s="25" t="n"/>
      <c r="AA83" s="24" t="n"/>
      <c r="AB83" s="24" t="n"/>
      <c r="AC83" s="24" t="n"/>
      <c r="AD83" s="24" t="n"/>
      <c r="AE83" s="24" t="n"/>
      <c r="AF83" s="24" t="n"/>
      <c r="AG83" s="24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</row>
    <row r="84" ht="12.75" customHeight="1" s="110">
      <c r="B84" s="24" t="n"/>
      <c r="C84" s="24" t="n"/>
      <c r="D84" s="24">
        <f>IF(D62=1,0,IF(D62=2,1,0))</f>
        <v/>
      </c>
      <c r="E84" s="24">
        <f>IF(D63=1,1,IF(D63=2,0,0))</f>
        <v/>
      </c>
      <c r="F84" s="24">
        <f>IF(F15=1,0,IF(F15=2,1,0))</f>
        <v/>
      </c>
      <c r="G84" s="24">
        <f>IF(F20=1,1,IF(F20=2,0,0))</f>
        <v/>
      </c>
      <c r="H84" s="24">
        <f>IF(F22=1,0,IF(F22=2,1,0))</f>
        <v/>
      </c>
      <c r="I84" s="24">
        <f>IF(F23=1,0,IF(F23=2,1,0))</f>
        <v/>
      </c>
      <c r="J84" s="24">
        <f>IF(F39=1,1,IF(F39=2,0,0))</f>
        <v/>
      </c>
      <c r="K84" s="24">
        <f>IF(F42=1,0,IF(F42=2,1,0))</f>
        <v/>
      </c>
      <c r="L84" s="24">
        <f>IF(F56=1,0,IF(F56=2,1,0))</f>
        <v/>
      </c>
      <c r="M84" s="24">
        <f>IF(F64=1,1,IF(F64=2,0,0))</f>
        <v/>
      </c>
      <c r="N84" s="24">
        <f>IF(F65=1,0,IF(F65=2,1,0))</f>
        <v/>
      </c>
      <c r="O84" s="24">
        <f>IF(H14=1,1,IF(H14=2,0,0))</f>
        <v/>
      </c>
      <c r="P84" s="24">
        <f>IF(H17=1,1,IF(H17=2,0,0))</f>
        <v/>
      </c>
      <c r="Q84" s="24">
        <f>IF(H21=1,0,IF(H21=2,1,0))</f>
        <v/>
      </c>
      <c r="R84" s="24">
        <f>IF(H27=1,0,IF(H27=2,1,0))</f>
        <v/>
      </c>
      <c r="S84" s="24">
        <f>IF(H28=1,0,IF(H28=2,1,0))</f>
        <v/>
      </c>
      <c r="T84" s="24">
        <f>IF(H29=1,0,IF(H29=2,1,0))</f>
        <v/>
      </c>
      <c r="U84" s="25">
        <f>SUM(D84:T84)</f>
        <v/>
      </c>
      <c r="V84" s="24" t="n"/>
      <c r="W84" s="24" t="n"/>
      <c r="X84" s="24" t="n"/>
      <c r="Y84" s="25" t="n"/>
      <c r="Z84" s="25" t="n"/>
      <c r="AA84" s="24" t="n"/>
      <c r="AB84" s="24" t="n"/>
      <c r="AC84" s="24" t="n"/>
      <c r="AD84" s="24" t="n"/>
      <c r="AE84" s="24" t="n"/>
      <c r="AF84" s="24" t="n"/>
      <c r="AG84" s="24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</row>
    <row r="85" ht="12.75" customHeight="1" s="110">
      <c r="B85" s="24" t="n"/>
      <c r="C85" s="24" t="n"/>
      <c r="D85" s="24">
        <f>IF(H30=1,0,IF(H30=2,1,0))</f>
        <v/>
      </c>
      <c r="E85" s="24">
        <f>IF(H33=1,1,IF(H33=2,0,0))</f>
        <v/>
      </c>
      <c r="F85" s="24">
        <f>IF(H34=1,1,IF(H34=2,0,0))</f>
        <v/>
      </c>
      <c r="G85" s="24">
        <f>IF(H35=1,0,IF(H35=2,1,0))</f>
        <v/>
      </c>
      <c r="H85" s="24">
        <f>IF(H52=1,0,IF(H52=2,1,0))</f>
        <v/>
      </c>
      <c r="I85" s="24">
        <f>IF(H57=1,1,IF(H57=2,0,0))</f>
        <v/>
      </c>
      <c r="J85" s="24">
        <f>IF(H62=1,1,IF(H62=2,0,0))</f>
        <v/>
      </c>
      <c r="K85" s="24">
        <f>IF(H65=1,0,IF(H65=2,1,0))</f>
        <v/>
      </c>
      <c r="L85" s="24">
        <f>IF(J8=1,1,IF(J8=2,0,0))</f>
        <v/>
      </c>
      <c r="M85" s="24">
        <f>IF(J15=1,0,IF(J15=2,1,0))</f>
        <v/>
      </c>
      <c r="N85" s="24">
        <f>IF(J16=1,0,IF(J16=2,1,0))</f>
        <v/>
      </c>
      <c r="O85" s="24">
        <f>IF(J39=1,0,IF(J39=2,1,0))</f>
        <v/>
      </c>
      <c r="P85" s="24">
        <f>IF(J42=1,1,IF(J42=2,0,0))</f>
        <v/>
      </c>
      <c r="Q85" s="24">
        <f>IF(J48=1,0,IF(J48=2,1,0))</f>
        <v/>
      </c>
      <c r="R85" s="24">
        <f>IF(J50=1,0,IF(J50=2,1,0))</f>
        <v/>
      </c>
      <c r="S85" s="24">
        <f>IF(J53=1,0,IF(J53=2,1,0))</f>
        <v/>
      </c>
      <c r="T85" s="24">
        <f>IF(J60=1,1,IF(J60=2,0,0))</f>
        <v/>
      </c>
      <c r="U85" s="25">
        <f>SUM(D85:T85)</f>
        <v/>
      </c>
      <c r="V85" s="24" t="n"/>
      <c r="W85" s="24" t="n"/>
      <c r="X85" s="24" t="n"/>
      <c r="Y85" s="25" t="n"/>
      <c r="Z85" s="25" t="n"/>
      <c r="AA85" s="24" t="n"/>
      <c r="AB85" s="24" t="n"/>
      <c r="AC85" s="24" t="n"/>
      <c r="AD85" s="24" t="n"/>
      <c r="AE85" s="24" t="n"/>
      <c r="AF85" s="24" t="n"/>
      <c r="AG85" s="24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</row>
    <row r="86" ht="12.75" customHeight="1" s="110">
      <c r="B86" s="24" t="n"/>
      <c r="C86" s="24" t="n"/>
      <c r="D86" s="24">
        <f>IF(J65=1,0,IF(J65=2,1,0))</f>
        <v/>
      </c>
      <c r="E86" s="24">
        <f>IF(L12=1,0,IF(L12=2,1,0))</f>
        <v/>
      </c>
      <c r="F86" s="24">
        <f>IF(L27=1,0,IF(L27=2,1,0))</f>
        <v/>
      </c>
      <c r="G86" s="24">
        <f>IF(L34=1,0,IF(L34=2,1,0))</f>
        <v/>
      </c>
      <c r="H86" s="24">
        <f>IF(N37=1,0,IF(N37=2,1,0))</f>
        <v/>
      </c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5">
        <f>SUM(D86:H86)</f>
        <v/>
      </c>
      <c r="V86" s="24">
        <f>SUM(U83:U86)</f>
        <v/>
      </c>
      <c r="W86" s="24" t="n"/>
      <c r="X86" s="24" t="n"/>
      <c r="Y86" s="25">
        <f>SUM(V86)</f>
        <v/>
      </c>
      <c r="Z86" s="25">
        <f>IF(D159&lt;&gt;0,D159,IF(E159&lt;&gt;0,E159,IF(F159&lt;&gt;0,F159,IF(G159&lt;&gt;0,G159,IF(H159&lt;&gt;0,H159,IF(I159&lt;&gt;0,I159,IF(J159&lt;&gt;0,J159,0)))))))</f>
        <v/>
      </c>
      <c r="AA86" s="24" t="n"/>
      <c r="AB86" s="24" t="n"/>
      <c r="AC86" s="24" t="n"/>
      <c r="AD86" s="24" t="n"/>
      <c r="AE86" s="24" t="n"/>
      <c r="AF86" s="24" t="n"/>
      <c r="AG86" s="24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</row>
    <row r="87" ht="12.75" customHeight="1" s="110">
      <c r="B87" s="24" t="n"/>
      <c r="C87" s="24" t="inlineStr">
        <is>
          <t>Hy</t>
        </is>
      </c>
      <c r="D87" s="24">
        <f>IF(D9=1,0,IF(D9=2,1,0))</f>
        <v/>
      </c>
      <c r="E87" s="24">
        <f>IF(D10=1,0,IF(D10=2,1,0))</f>
        <v/>
      </c>
      <c r="F87" s="24">
        <f>IF(D14=1,0,IF(D14=2,1,0))</f>
        <v/>
      </c>
      <c r="G87" s="24">
        <f>IF(D15=1,0,IF(D15=2,1,0))</f>
        <v/>
      </c>
      <c r="H87" s="24">
        <f>IF(D16=1,0,IF(D16=2,1,0))</f>
        <v/>
      </c>
      <c r="I87" s="24">
        <f>IF(D17=1,0,IF(D17=2,1,0))</f>
        <v/>
      </c>
      <c r="J87" s="24">
        <f>IF(D18=1,1,IF(D18=2,0,0))</f>
        <v/>
      </c>
      <c r="K87" s="24">
        <f>IF(D21=1,0,IF(D21=2,1,0))</f>
        <v/>
      </c>
      <c r="L87" s="24">
        <f>IF(D25=1,1,IF(D25=2,0,0))</f>
        <v/>
      </c>
      <c r="M87" s="24">
        <f>IF(D33=1,0,IF(D33=2,1,0))</f>
        <v/>
      </c>
      <c r="N87" s="24">
        <f>IF(D36=1,0,IF(D36=2,1,0))</f>
        <v/>
      </c>
      <c r="O87" s="24">
        <f>IF(D38=1,1,IF(D38=2,0,0))</f>
        <v/>
      </c>
      <c r="P87" s="24">
        <f>IF(D46=1,1,IF(D46=2,0,0))</f>
        <v/>
      </c>
      <c r="Q87" s="24">
        <f>IF(D47=1,1,IF(D47=2,0,0))</f>
        <v/>
      </c>
      <c r="R87" s="24">
        <f>IF(D51=1,1,IF(D51=2,0,0))</f>
        <v/>
      </c>
      <c r="S87" s="24">
        <f>IF(D52=1,0,IF(D52=2,1,0))</f>
        <v/>
      </c>
      <c r="T87" s="24">
        <f>IF(D54=1,0,IF(D54=2,1,0))</f>
        <v/>
      </c>
      <c r="U87" s="25">
        <f>SUM(D87:T87)</f>
        <v/>
      </c>
      <c r="V87" s="24" t="n"/>
      <c r="W87" s="24" t="n"/>
      <c r="X87" s="24" t="n"/>
      <c r="Y87" s="25" t="n"/>
      <c r="Z87" s="25" t="n"/>
      <c r="AA87" s="24" t="n"/>
      <c r="AB87" s="24" t="n"/>
      <c r="AC87" s="24" t="n"/>
      <c r="AD87" s="24" t="n"/>
      <c r="AE87" s="24" t="n"/>
      <c r="AF87" s="24" t="n"/>
      <c r="AG87" s="24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</row>
    <row r="88" ht="12.75" customHeight="1" s="110">
      <c r="B88" s="24" t="n"/>
      <c r="C88" s="24" t="n"/>
      <c r="D88" s="24">
        <f>IF(D65=1,0,IF(D65=2,1,0))</f>
        <v/>
      </c>
      <c r="E88" s="24">
        <f>IF(F12=1,1,IF(F12=2,0,0))</f>
        <v/>
      </c>
      <c r="F88" s="24">
        <f>IF(F23=1,0,IF(F23=2,1,0))</f>
        <v/>
      </c>
      <c r="G88" s="24">
        <f>IF(F28=1,0,IF(F28=2,1,0))</f>
        <v/>
      </c>
      <c r="H88" s="24">
        <f>IF(F38=1,0,IF(F38=2,1,0))</f>
        <v/>
      </c>
      <c r="I88" s="24">
        <f>IF(F42=1,0,IF(F42=2,1,0))</f>
        <v/>
      </c>
      <c r="J88" s="24">
        <f>IF(F45=1,0,IF(F45=2,1,0))</f>
        <v/>
      </c>
      <c r="K88" s="24">
        <f>IF(F48=1,1,IF(F48=2,0,0))</f>
        <v/>
      </c>
      <c r="L88" s="24">
        <f>IF(F57=1,0,IF(F57=2,1,0))</f>
        <v/>
      </c>
      <c r="M88" s="24">
        <f>IF(F62=1,0,IF(F62=2,1,0))</f>
        <v/>
      </c>
      <c r="N88" s="24">
        <f>IF(F63=1,0,IF(F63=2,1,0))</f>
        <v/>
      </c>
      <c r="O88" s="24">
        <f>IF(H11=1,0,IF(H11=2,1,0))</f>
        <v/>
      </c>
      <c r="P88" s="24">
        <f>IF(H12=1,0,IF(H12=2,1,0))</f>
        <v/>
      </c>
      <c r="Q88" s="24">
        <f>IF(H16=1,0,IF(H16=2,1,0))</f>
        <v/>
      </c>
      <c r="R88" s="24">
        <f>IF(H22=1,0,IF(H22=2,1,0))</f>
        <v/>
      </c>
      <c r="S88" s="24">
        <f>IF(H28=1,0,IF(H28=2,1,0))</f>
        <v/>
      </c>
      <c r="T88" s="24">
        <f>IF(H35=1,0,IF(H35=2,1,0))</f>
        <v/>
      </c>
      <c r="U88" s="25">
        <f>SUM(D88:T88)</f>
        <v/>
      </c>
      <c r="V88" s="24" t="n"/>
      <c r="W88" s="24" t="n"/>
      <c r="X88" s="24" t="n"/>
      <c r="Y88" s="25" t="n"/>
      <c r="Z88" s="25" t="n"/>
      <c r="AA88" s="24" t="n"/>
      <c r="AB88" s="24" t="n"/>
      <c r="AC88" s="24" t="n"/>
      <c r="AD88" s="24" t="n"/>
      <c r="AE88" s="24" t="n"/>
      <c r="AF88" s="24" t="n"/>
      <c r="AG88" s="24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</row>
    <row r="89" ht="12.75" customHeight="1" s="110">
      <c r="B89" s="24" t="n"/>
      <c r="C89" s="24" t="n"/>
      <c r="D89" s="24">
        <f>IF(H38=1,0,IF(H38=2,1,0))</f>
        <v/>
      </c>
      <c r="E89" s="24">
        <f>IF(H39=1,0,IF(H39=2,1,0))</f>
        <v/>
      </c>
      <c r="F89" s="24">
        <f>IF(H44=1,0,IF(H44=2,1,0))</f>
        <v/>
      </c>
      <c r="G89" s="24">
        <f>IF(H46=1,0,IF(H46=2,1,0))</f>
        <v/>
      </c>
      <c r="H89" s="24">
        <f>IF(H48=1,0,IF(H48=2,1,0))</f>
        <v/>
      </c>
      <c r="I89" s="24">
        <f>IF(H51=1,0,IF(H51=2,1,0))</f>
        <v/>
      </c>
      <c r="J89" s="24">
        <f>IF(H53=1,1,IF(H53=2,0,0))</f>
        <v/>
      </c>
      <c r="K89" s="24">
        <f>IF(H54=1,0,IF(H54=2,1,0))</f>
        <v/>
      </c>
      <c r="L89" s="24">
        <f>IF(H59=1,1,IF(H59=2,0,0))</f>
        <v/>
      </c>
      <c r="M89" s="24">
        <f>IF(H60=1,0,IF(H60=2,1,0))</f>
        <v/>
      </c>
      <c r="N89" s="24">
        <f>IF(H62=1,1,IF(H62=2,0,0))</f>
        <v/>
      </c>
      <c r="O89" s="24">
        <f>IF(H63=1,0,IF(H63=2,1,0))</f>
        <v/>
      </c>
      <c r="P89" s="24">
        <f>IF(H66=1,0,IF(H66=2,1,0))</f>
        <v/>
      </c>
      <c r="Q89" s="24">
        <f>IF(J12=1,0,IF(J12=2,1,0))</f>
        <v/>
      </c>
      <c r="R89" s="24">
        <f>IF(J20=1,0,IF(J20=2,1,0))</f>
        <v/>
      </c>
      <c r="S89" s="24">
        <f>IF(J35=1,0,IF(J35=2,1,0))</f>
        <v/>
      </c>
      <c r="T89" s="24">
        <f>IF(J40=1,0,IF(J40=2,1,0))</f>
        <v/>
      </c>
      <c r="U89" s="25">
        <f>SUM(D89:T89)</f>
        <v/>
      </c>
      <c r="V89" s="24" t="n"/>
      <c r="W89" s="24" t="n"/>
      <c r="X89" s="24" t="n"/>
      <c r="Y89" s="25" t="n"/>
      <c r="Z89" s="25" t="n"/>
      <c r="AA89" s="24" t="n"/>
      <c r="AB89" s="24" t="n"/>
      <c r="AC89" s="24" t="n"/>
      <c r="AD89" s="24" t="n"/>
      <c r="AE89" s="24" t="n"/>
      <c r="AF89" s="24" t="n"/>
      <c r="AG89" s="24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</row>
    <row r="90" ht="12.75" customHeight="1" s="110">
      <c r="B90" s="24" t="n"/>
      <c r="C90" s="24" t="n"/>
      <c r="D90" s="24">
        <f>IF(J45=1,1,IF(J45=2,0,0))</f>
        <v/>
      </c>
      <c r="E90" s="24">
        <f>IF(J51=1,0,IF(J51=2,1,0))</f>
        <v/>
      </c>
      <c r="F90" s="24">
        <f>IF(J57=1,1,IF(J57=2,0,0))</f>
        <v/>
      </c>
      <c r="G90" s="24">
        <f>IF(L8=1,0,IF(L8=2,1,0))</f>
        <v/>
      </c>
      <c r="H90" s="24">
        <f>IF(L10=1,0,IF(L10=2,1,0))</f>
        <v/>
      </c>
      <c r="I90" s="24">
        <f>IF(L16=1,0,IF(L16=2,1,0))</f>
        <v/>
      </c>
      <c r="J90" s="24">
        <f>IF(L20=1,0,IF(L20=2,1,0))</f>
        <v/>
      </c>
      <c r="K90" s="24">
        <f>IF(L30=1,0,IF(L30=2,1,0))</f>
        <v/>
      </c>
      <c r="L90" s="24">
        <f>IF(L32=1,0,IF(L32=2,1,0))</f>
        <v/>
      </c>
      <c r="M90" s="24" t="n"/>
      <c r="N90" s="24" t="n"/>
      <c r="O90" s="24" t="n"/>
      <c r="P90" s="24" t="n"/>
      <c r="Q90" s="24" t="n"/>
      <c r="R90" s="24" t="n"/>
      <c r="S90" s="24" t="n"/>
      <c r="T90" s="24" t="n"/>
      <c r="U90" s="25">
        <f>SUM(D90:T90)</f>
        <v/>
      </c>
      <c r="V90" s="24">
        <f>SUM(U87:U90)</f>
        <v/>
      </c>
      <c r="W90" s="24" t="n"/>
      <c r="X90" s="24" t="n"/>
      <c r="Y90" s="25">
        <f>SUM(V90)</f>
        <v/>
      </c>
      <c r="Z90" s="25">
        <f>IF(D160&lt;&gt;0,D160,IF(E160&lt;&gt;0,E160,IF(F160&lt;&gt;0,F160,IF(G160&lt;&gt;0,G160,IF(H160&lt;&gt;0,H160,IF(I160&lt;&gt;0,I160,IF(J160&lt;&gt;0,J160,0)))))))</f>
        <v/>
      </c>
      <c r="AA90" s="24" t="n"/>
      <c r="AB90" s="24" t="n"/>
      <c r="AC90" s="24" t="n"/>
      <c r="AD90" s="24" t="n"/>
      <c r="AE90" s="24" t="n"/>
      <c r="AF90" s="24" t="n"/>
      <c r="AG90" s="24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</row>
    <row r="91" ht="12.75" customHeight="1" s="110">
      <c r="B91" s="24" t="n"/>
      <c r="C91" s="24" t="inlineStr">
        <is>
          <t>Pd</t>
        </is>
      </c>
      <c r="D91" s="24">
        <f>IF(D16=1,0,IF(D16=2,1,0))</f>
        <v/>
      </c>
      <c r="E91" s="24">
        <f>IF(D19=1,0,IF(D19=2,1,0))</f>
        <v/>
      </c>
      <c r="F91" s="24">
        <f>IF(D24=1,1,IF(D24=2,0,0))</f>
        <v/>
      </c>
      <c r="G91" s="24">
        <f>IF(D28=1,1,IF(D28=2,0,0))</f>
        <v/>
      </c>
      <c r="H91" s="24">
        <f>IF(D29=1,1,IF(D29=2,0,0))</f>
        <v/>
      </c>
      <c r="I91" s="24">
        <f>IF(D38=1,1,IF(D38=2,0,0))</f>
        <v/>
      </c>
      <c r="J91" s="24">
        <f>IF(D39=1,1,IF(D39=2,0,0))</f>
        <v/>
      </c>
      <c r="K91" s="24">
        <f>IF(D41=1,0,IF(D41=2,1,0))</f>
        <v/>
      </c>
      <c r="L91" s="24">
        <f>IF(D42=1,1,IF(D42=2,0,0))</f>
        <v/>
      </c>
      <c r="M91" s="24">
        <f>IF(D49=1,1,IF(D49=2,0,0))</f>
        <v/>
      </c>
      <c r="N91" s="24">
        <f>IF(D59=1,1,IF(D59=2,0,0))</f>
        <v/>
      </c>
      <c r="O91" s="24">
        <f>IF(D61=1,1,IF(D61=2,0,0))</f>
        <v/>
      </c>
      <c r="P91" s="24">
        <f>IF(D63=1,1,IF(D63=2,0,0))</f>
        <v/>
      </c>
      <c r="Q91" s="24">
        <f>IF(F17=1,0,IF(F17=2,1,0))</f>
        <v/>
      </c>
      <c r="R91" s="24">
        <f>IF(F18=1,1,IF(F18=2,0,0))</f>
        <v/>
      </c>
      <c r="S91" s="24">
        <f>IF(F26=1,0,IF(F26=2,1,0))</f>
        <v/>
      </c>
      <c r="T91" s="24">
        <f>IF(F29=1,1,IF(F29=2,0,0))</f>
        <v/>
      </c>
      <c r="U91" s="25">
        <f>SUM(D91:T91)</f>
        <v/>
      </c>
      <c r="V91" s="24" t="n"/>
      <c r="W91" s="24" t="n"/>
      <c r="X91" s="24" t="n"/>
      <c r="Y91" s="25" t="n"/>
      <c r="Z91" s="25" t="n"/>
      <c r="AA91" s="24" t="n"/>
      <c r="AB91" s="24" t="n"/>
      <c r="AC91" s="24" t="n"/>
      <c r="AD91" s="24" t="n"/>
      <c r="AE91" s="24" t="n"/>
      <c r="AF91" s="24" t="n"/>
      <c r="AG91" s="24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</row>
    <row r="92" ht="12.75" customHeight="1" s="110">
      <c r="B92" s="24" t="n"/>
      <c r="C92" s="24" t="n"/>
      <c r="D92" s="24">
        <f>IF(F30=1,0,IF(F30=2,1,0))</f>
        <v/>
      </c>
      <c r="E92" s="24">
        <f>IF(F36=1,1,IF(F36=2,0,0))</f>
        <v/>
      </c>
      <c r="F92" s="24">
        <f>IF(F41=1,1,IF(F41=2,0,0))</f>
        <v/>
      </c>
      <c r="G92" s="24">
        <f>IF(F42=1,0,IF(F42=2,1,0))</f>
        <v/>
      </c>
      <c r="H92" s="24">
        <f>IF(F46=1,1,IF(F46=2,0,0))</f>
        <v/>
      </c>
      <c r="I92" s="24">
        <f>IF(F52=1,1,IF(F52=2,0,0))</f>
        <v/>
      </c>
      <c r="J92" s="24">
        <f>IF(F60=1,1,IF(F60=2,0,0))</f>
        <v/>
      </c>
      <c r="K92" s="24">
        <f>IF(H9=1,0,IF(H9=2,1,0))</f>
        <v/>
      </c>
      <c r="L92" s="24">
        <f>IF(H12=1,0,IF(H12=2,1,0))</f>
        <v/>
      </c>
      <c r="M92" s="24">
        <f>IF(H16=1,0,IF(H16=2,1,0))</f>
        <v/>
      </c>
      <c r="N92" s="24">
        <f>IF(H30=1,0,IF(H30=2,1,0))</f>
        <v/>
      </c>
      <c r="O92" s="24">
        <f>IF(H44=1,0,IF(H44=2,1,0))</f>
        <v/>
      </c>
      <c r="P92" s="24">
        <f>IF(H45=1,0,IF(H45=2,1,0))</f>
        <v/>
      </c>
      <c r="Q92" s="24">
        <f>IF(H47=1,0,IF(H47=2,1,0))</f>
        <v/>
      </c>
      <c r="R92" s="24">
        <f>IF(H54=1,0,IF(H54=2,1,0))</f>
        <v/>
      </c>
      <c r="S92" s="24">
        <f>IF(H58=1,0,IF(H58=2,1,0))</f>
        <v/>
      </c>
      <c r="T92" s="24">
        <f>IF(J12=1,0,IF(J12=2,1,0))</f>
        <v/>
      </c>
      <c r="U92" s="25">
        <f>SUM(D92:T92)</f>
        <v/>
      </c>
      <c r="V92" s="24" t="n"/>
      <c r="W92" s="24" t="n"/>
      <c r="X92" s="24" t="n"/>
      <c r="Y92" s="25" t="n"/>
      <c r="Z92" s="25" t="n"/>
      <c r="AA92" s="24" t="n"/>
      <c r="AB92" s="24" t="n"/>
      <c r="AC92" s="24" t="n"/>
      <c r="AD92" s="24" t="n"/>
      <c r="AE92" s="24" t="n"/>
      <c r="AF92" s="24" t="n"/>
      <c r="AG92" s="24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</row>
    <row r="93" ht="12.75" customHeight="1" s="110">
      <c r="B93" s="24" t="n"/>
      <c r="C93" s="24" t="n"/>
      <c r="D93" s="24">
        <f>IF(J22=1,1,IF(J22=2,0,0))</f>
        <v/>
      </c>
      <c r="E93" s="24">
        <f>IF(J29=1,1,IF(J29=2,0,0))</f>
        <v/>
      </c>
      <c r="F93" s="24">
        <f>IF(J36=1,0,IF(J36=2,1,0))</f>
        <v/>
      </c>
      <c r="G93" s="24">
        <f>IF(J41=1,0,IF(J41=2,1,0))</f>
        <v/>
      </c>
      <c r="H93" s="24">
        <f>IF(J44=1,0,IF(J44=2,1,0))</f>
        <v/>
      </c>
      <c r="I93" s="24">
        <f>IF(J46=1,1,IF(J46=2,0,0))</f>
        <v/>
      </c>
      <c r="J93" s="24">
        <f>IF(J52=1,1,IF(J52=2,0,0))</f>
        <v/>
      </c>
      <c r="K93" s="24">
        <f>IF(J53=1,0,IF(J53=2,1,0))</f>
        <v/>
      </c>
      <c r="L93" s="24">
        <f>IF(L10=1,0,IF(L10=2,1,0))</f>
        <v/>
      </c>
      <c r="M93" s="24">
        <f>IF(L26=1,1,IF(L26=2,0,0))</f>
        <v/>
      </c>
      <c r="N93" s="24">
        <f>IF(L28=1,0,IF(L28=2,1,0))</f>
        <v/>
      </c>
      <c r="O93" s="24">
        <f>IF(L30=1,0,IF(L30=2,1,0))</f>
        <v/>
      </c>
      <c r="P93" s="24">
        <f>IF(L31=1,1,IF(L31=2,0,0))</f>
        <v/>
      </c>
      <c r="Q93" s="24">
        <f>IF(L33=1,0,IF(L33=2,1,0))</f>
        <v/>
      </c>
      <c r="R93" s="24">
        <f>IF(L34=1,0,IF(L34=2,1,0))</f>
        <v/>
      </c>
      <c r="S93" s="24">
        <f>IF(L55=1,1,IF(L55=2,0,0))</f>
        <v/>
      </c>
      <c r="T93" s="24" t="n"/>
      <c r="U93" s="25">
        <f>SUM(D93:T93)</f>
        <v/>
      </c>
      <c r="V93" s="24">
        <f>SUM(U91:U93)</f>
        <v/>
      </c>
      <c r="W93" s="24">
        <f>SUM(U78:U79)*0.4</f>
        <v/>
      </c>
      <c r="X93" s="24">
        <f>SUM(V93+X162)</f>
        <v/>
      </c>
      <c r="Y93" s="25">
        <f>SUM(X93)</f>
        <v/>
      </c>
      <c r="Z93" s="25">
        <f>IF(D161&lt;&gt;0,D161,IF(E161&lt;&gt;0,E161,IF(F161&lt;&gt;0,F161,IF(G161&lt;&gt;0,G161,IF(H161&lt;&gt;0,H161,IF(I161&lt;&gt;0,I161,IF(J161&lt;&gt;0,J161,0)))))))</f>
        <v/>
      </c>
      <c r="AA93" s="24" t="n"/>
      <c r="AB93" s="24" t="n"/>
      <c r="AC93" s="24" t="n"/>
      <c r="AD93" s="24" t="n"/>
      <c r="AE93" s="24" t="n"/>
      <c r="AF93" s="24" t="n"/>
      <c r="AG93" s="24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</row>
    <row r="94" ht="12.75" customHeight="1" s="110">
      <c r="B94" s="24" t="n"/>
      <c r="C94" s="24" t="inlineStr">
        <is>
          <t>Mfv</t>
        </is>
      </c>
      <c r="D94" s="24">
        <f>IF(D8=1,0,IF(D8=2,1,0))</f>
        <v/>
      </c>
      <c r="E94" s="24">
        <f>IF(D11=1,1,IF(D11=2,0,0))</f>
        <v/>
      </c>
      <c r="F94" s="24">
        <f>IF(D26=1,0,IF(D26=2,1,0))</f>
        <v/>
      </c>
      <c r="G94" s="24">
        <f>IF(D32=1,1,IF(D32=2,0,0))</f>
        <v/>
      </c>
      <c r="H94" s="24">
        <f>IF(D33=1,0,IF(D33=2,1,0))</f>
        <v/>
      </c>
      <c r="I94" s="24">
        <f>IF(D34=1,0,IF(D34=2,1,0))</f>
        <v/>
      </c>
      <c r="J94" s="24">
        <f>IF(F9=1,1,IF(F9=2,0,0))</f>
        <v/>
      </c>
      <c r="K94" s="24">
        <f>IF(F10=1,0,IF(F10=2,1,0))</f>
        <v/>
      </c>
      <c r="L94" s="24">
        <f>IF(F11=1,1,IF(F11=2,0,0))</f>
        <v/>
      </c>
      <c r="M94" s="24">
        <f>IF(F14=1,1,IF(F14=2,0,0))</f>
        <v/>
      </c>
      <c r="N94" s="24">
        <f>IF(F15=1,0,IF(F15=2,1,0))</f>
        <v/>
      </c>
      <c r="O94" s="24">
        <f>IF(F16=1,0,IF(F16=2,1,0))</f>
        <v/>
      </c>
      <c r="P94" s="24">
        <f>IF(F21=1,1,IF(F21=2,0,0))</f>
        <v/>
      </c>
      <c r="Q94" s="24">
        <f>IF(F23=1,0,IF(F23=2,1))</f>
        <v/>
      </c>
      <c r="R94" s="24">
        <f>IF(F27=1,1,IF(F27=2,0,0))</f>
        <v/>
      </c>
      <c r="S94" s="24">
        <f>IF(F33=1,0,IF(F33=2,1,0))</f>
        <v/>
      </c>
      <c r="T94" s="24">
        <f>IF(F50=1,0,IF(F50=2,1,0))</f>
        <v/>
      </c>
      <c r="U94" s="25">
        <f>SUM(D94:T94)</f>
        <v/>
      </c>
      <c r="V94" s="24" t="n"/>
      <c r="W94" s="24" t="n"/>
      <c r="X94" s="24" t="n"/>
      <c r="Y94" s="25" t="n"/>
      <c r="Z94" s="25" t="n"/>
      <c r="AA94" s="24" t="n"/>
      <c r="AB94" s="24" t="n"/>
      <c r="AC94" s="24" t="n"/>
      <c r="AD94" s="24" t="n"/>
      <c r="AE94" s="24" t="n"/>
      <c r="AF94" s="24" t="n"/>
      <c r="AG94" s="24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</row>
    <row r="95" ht="12.75" customHeight="1" s="110">
      <c r="B95" s="24" t="n"/>
      <c r="C95" s="24" t="n"/>
      <c r="D95" s="24">
        <f>IF(F51=1,0,IF(F51=2,1,0))</f>
        <v/>
      </c>
      <c r="E95" s="24">
        <f>IF(F54=1,0,IF(F54=2,1,0))</f>
        <v/>
      </c>
      <c r="F95" s="24">
        <f>IF(F59=1,1,IF(F59=2,0,0))</f>
        <v/>
      </c>
      <c r="G95" s="24">
        <f>IF(F66=1,1,IF(F66=2,0,0))</f>
        <v/>
      </c>
      <c r="H95" s="24">
        <f>IF(F67=1,0,IF(F67=2,1,0))</f>
        <v/>
      </c>
      <c r="I95" s="24">
        <f>IF(H8=1,0,IF(H8=2,1,0))</f>
        <v/>
      </c>
      <c r="J95" s="24">
        <f>IF(H9=1,1,IF(H9=2,0,0))</f>
        <v/>
      </c>
      <c r="K95" s="24">
        <f>IF(H15=1,1,IF(H15=2,0,0))</f>
        <v/>
      </c>
      <c r="L95" s="24">
        <f>IF(H19=1,0,IF(H19=2,1,0))</f>
        <v/>
      </c>
      <c r="M95" s="24">
        <f>IF(H20=1,0,IF(H20=2,1,0))</f>
        <v/>
      </c>
      <c r="N95" s="24">
        <f>IF(H24=1,1,IF(H24=2,0,0))</f>
        <v/>
      </c>
      <c r="O95" s="24">
        <f>IF(H50=1,0,IF(H50=2,1,0))</f>
        <v/>
      </c>
      <c r="P95" s="24">
        <f>IF(H53=1,1,IF(H53=2,0,0))</f>
        <v/>
      </c>
      <c r="Q95" s="24">
        <f>IF(H64=1,1,IF(H64=2,0,0))</f>
        <v/>
      </c>
      <c r="R95" s="24">
        <f>IF(J11=1,0,IF(J11=2,1,0))</f>
        <v/>
      </c>
      <c r="S95" s="24">
        <f>IF(J14=1,1,IF(J14=2,0,0))</f>
        <v/>
      </c>
      <c r="T95" s="24">
        <f>IF(J18=1,1,IF(J18=2,0,0))</f>
        <v/>
      </c>
      <c r="U95" s="25">
        <f>SUM(D95:T95)</f>
        <v/>
      </c>
      <c r="V95" s="24" t="n"/>
      <c r="W95" s="24" t="n"/>
      <c r="X95" s="24" t="n"/>
      <c r="Y95" s="25" t="n"/>
      <c r="Z95" s="25" t="n"/>
      <c r="AA95" s="24" t="n"/>
      <c r="AB95" s="24" t="n"/>
      <c r="AC95" s="24" t="n"/>
      <c r="AD95" s="24" t="n"/>
      <c r="AE95" s="24" t="n"/>
      <c r="AF95" s="24" t="n"/>
      <c r="AG95" s="24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</row>
    <row r="96" ht="12.75" customHeight="1" s="110">
      <c r="B96" s="24" t="n"/>
      <c r="C96" s="24" t="n"/>
      <c r="D96" s="24">
        <f>IF(J20=1,0,IF(J20=2,1,0))</f>
        <v/>
      </c>
      <c r="E96" s="24">
        <f>IF(J21=1,0,IF(J21=2,1,0))</f>
        <v/>
      </c>
      <c r="F96" s="24">
        <f>IF(J23=1,1,IF(J23=2,0,0))</f>
        <v/>
      </c>
      <c r="G96" s="24">
        <f>IF(J24=1,0,IF(J24=2,1,0))</f>
        <v/>
      </c>
      <c r="H96" s="24">
        <f>IF(J26=1,0,IF(J26=2,1,0))</f>
        <v/>
      </c>
      <c r="I96" s="24">
        <f>IF(J28=1,0,IF(J28=2,1,0))</f>
        <v/>
      </c>
      <c r="J96" s="24">
        <f>IF(J32=1,1,IF(J32=2,0,0))</f>
        <v/>
      </c>
      <c r="K96" s="24">
        <f>IF(J34=1,0,IF(J34=2,1,0))</f>
        <v/>
      </c>
      <c r="L96" s="24">
        <f>IF(J36=1,1,IF(J36=2,0,0))</f>
        <v/>
      </c>
      <c r="M96" s="24">
        <f>IF(J46=1,1,IF(J46=2,0,0))</f>
        <v/>
      </c>
      <c r="N96" s="24">
        <f>IF(J58=1,0,IF(J58=2,1,0))</f>
        <v/>
      </c>
      <c r="O96" s="24">
        <f>IF(J62=1,0,IF(J62=2,1,0))</f>
        <v/>
      </c>
      <c r="P96" s="24">
        <f>IF(J63=1,1,IF(J63=2,0,0))</f>
        <v/>
      </c>
      <c r="Q96" s="24">
        <f>IF(J64=1,0,IF(J64=2,1,0))</f>
        <v/>
      </c>
      <c r="R96" s="24">
        <f>IF(J66=1,0,IF(J66=2,1,0))</f>
        <v/>
      </c>
      <c r="S96" s="24">
        <f>IF(L18=1,1,IF(L18=2,0,0))</f>
        <v/>
      </c>
      <c r="T96" s="24">
        <f>IF(L21=1,0,IF(L21=2,1,0))</f>
        <v/>
      </c>
      <c r="U96" s="25">
        <f>SUM(D96:T96)</f>
        <v/>
      </c>
      <c r="V96" s="24" t="n"/>
      <c r="W96" s="24" t="n"/>
      <c r="X96" s="24" t="n"/>
      <c r="Y96" s="25" t="n"/>
      <c r="Z96" s="25" t="n"/>
      <c r="AA96" s="24" t="n"/>
      <c r="AB96" s="24" t="n"/>
      <c r="AC96" s="24" t="n"/>
      <c r="AD96" s="24" t="n"/>
      <c r="AE96" s="24" t="n"/>
      <c r="AF96" s="24" t="n"/>
      <c r="AG96" s="24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</row>
    <row r="97" ht="12.75" customHeight="1" s="110">
      <c r="B97" s="24" t="n"/>
      <c r="C97" s="24" t="n"/>
      <c r="D97" s="24">
        <f>IF(L23=1,1,IF(L23=2,0,0))</f>
        <v/>
      </c>
      <c r="E97" s="24">
        <f>IF(L24=1,0,IF(L24=2,1,0))</f>
        <v/>
      </c>
      <c r="F97" s="24">
        <f>IF(L35=1,1,IF(L35=2,0,0))</f>
        <v/>
      </c>
      <c r="G97" s="24">
        <f>IF(L38=1,1,IF(L38=2,0,0))</f>
        <v/>
      </c>
      <c r="H97" s="24">
        <f>IF(L39=1,0,IF(L39=2,1,0))</f>
        <v/>
      </c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5">
        <f>SUM(D97:T97)</f>
        <v/>
      </c>
      <c r="V97" s="24">
        <f>SUM(U94:U97)</f>
        <v/>
      </c>
      <c r="W97" s="24" t="n"/>
      <c r="X97" s="24" t="n"/>
      <c r="Y97" s="25">
        <f>SUM(V97)</f>
        <v/>
      </c>
      <c r="Z97" s="25">
        <f>IF(D162&lt;&gt;0,D162,IF(E162&lt;&gt;0,E162,IF(F162&lt;&gt;0,F162,IF(G162&lt;&gt;0,G162,IF(H162&lt;&gt;0,H162,IF(I162&lt;&gt;0,I162))))))</f>
        <v/>
      </c>
      <c r="AA97" s="24" t="n"/>
      <c r="AB97" s="24" t="n"/>
      <c r="AC97" s="24" t="n"/>
      <c r="AD97" s="24" t="n"/>
      <c r="AE97" s="24" t="n"/>
      <c r="AF97" s="24" t="n"/>
      <c r="AG97" s="24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</row>
    <row r="98" ht="12.75" customHeight="1" s="110">
      <c r="B98" s="24" t="n"/>
      <c r="C98" s="24" t="inlineStr">
        <is>
          <t>Mfm</t>
        </is>
      </c>
      <c r="D98" s="24">
        <f>IF(D8=1,0,IF(D8=2,1,0))</f>
        <v/>
      </c>
      <c r="E98" s="24">
        <f>IF(D11=1,1,IF(D11=2,0,0))</f>
        <v/>
      </c>
      <c r="F98" s="24">
        <f>IF(D26=1,0,IF(D26=2,1,0))</f>
        <v/>
      </c>
      <c r="G98" s="24">
        <f>IF(D32=1,1,IF(D32=2,0,0))</f>
        <v/>
      </c>
      <c r="H98" s="24">
        <f>IF(D33=1,0,IF(D33=2,1,0))</f>
        <v/>
      </c>
      <c r="I98" s="24">
        <f>IF(D34=1,0,IF(D34=2,1,0))</f>
        <v/>
      </c>
      <c r="J98" s="24">
        <f>IF(F9=1,1,IF(F9=2,0,0))</f>
        <v/>
      </c>
      <c r="K98" s="24">
        <f>IF(F10=1,0,IF(F10=2,1,0))</f>
        <v/>
      </c>
      <c r="L98" s="24">
        <f>IF(F11=1,1,IF(F11=2,0,0))</f>
        <v/>
      </c>
      <c r="M98" s="24">
        <f>IF(F14=1,1,IF(F14=2,0,0))</f>
        <v/>
      </c>
      <c r="N98" s="24">
        <f>IF(F15=1,0,IF(F15=2,1,0))</f>
        <v/>
      </c>
      <c r="O98" s="24">
        <f>IF(F16=1,0,IF(F16=2,1,0))</f>
        <v/>
      </c>
      <c r="P98" s="24">
        <f>IF(F21=1,1,IF(F21=2,0,0))</f>
        <v/>
      </c>
      <c r="Q98" s="24">
        <f>IF(F23=1,0,IF(F23=2,1))</f>
        <v/>
      </c>
      <c r="R98" s="24">
        <f>IF(F27=1,1,IF(F27=2,0,0))</f>
        <v/>
      </c>
      <c r="S98" s="24">
        <f>IF(F33=1,0,IF(F33=2,1,0))</f>
        <v/>
      </c>
      <c r="T98" s="24">
        <f>IF(F50=1,0,IF(F50=2,1,0))</f>
        <v/>
      </c>
      <c r="U98" s="25">
        <f>SUM(D98:T98)</f>
        <v/>
      </c>
      <c r="V98" s="24" t="n"/>
      <c r="W98" s="24" t="n"/>
      <c r="X98" s="24" t="n"/>
      <c r="Y98" s="25" t="n"/>
      <c r="Z98" s="25" t="n"/>
      <c r="AA98" s="24" t="n"/>
      <c r="AB98" s="24" t="n"/>
      <c r="AC98" s="24" t="n"/>
      <c r="AD98" s="24" t="n"/>
      <c r="AE98" s="24" t="n"/>
      <c r="AF98" s="24" t="n"/>
      <c r="AG98" s="24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</row>
    <row r="99" ht="12.75" customHeight="1" s="110">
      <c r="B99" s="24" t="n"/>
      <c r="C99" s="24" t="n"/>
      <c r="D99" s="24">
        <f>IF(F51=1,0,IF(F51=2,1,0))</f>
        <v/>
      </c>
      <c r="E99" s="24">
        <f>IF(F54=1,0,IF(F54=2,1,0))</f>
        <v/>
      </c>
      <c r="F99" s="24">
        <f>IF(F59=1,1,IF(F59=2,0,0))</f>
        <v/>
      </c>
      <c r="G99" s="24">
        <f>IF(F66=1,1,IF(F66=2,0,0))</f>
        <v/>
      </c>
      <c r="H99" s="24">
        <f>IF(F67=1,0,IF(F67=2,1,0))</f>
        <v/>
      </c>
      <c r="I99" s="24">
        <f>IF(H8=1,1,IF(H8=2,0,0))</f>
        <v/>
      </c>
      <c r="J99" s="24">
        <f>IF(H9=1,1,IF(H9=2,0,0))</f>
        <v/>
      </c>
      <c r="K99" s="24">
        <f>IF(H15=1,1,IF(H15=2,0,0))</f>
        <v/>
      </c>
      <c r="L99" s="24">
        <f>IF(H19=1,0,IF(H19=2,1,0))</f>
        <v/>
      </c>
      <c r="M99" s="24">
        <f>IF(H20=1,0,IF(H20=2,1,0))</f>
        <v/>
      </c>
      <c r="N99" s="24">
        <f>IF(H24=1,1,IF(H24=2,0,0))</f>
        <v/>
      </c>
      <c r="O99" s="24">
        <f>IF(H50=1,0,IF(H50=2,1,0))</f>
        <v/>
      </c>
      <c r="P99" s="24">
        <f>IF(H53=1,0,IF(H53=2,1,0))</f>
        <v/>
      </c>
      <c r="Q99" s="24">
        <f>IF(H64=1,1,IF(H64=2,0,0))</f>
        <v/>
      </c>
      <c r="R99" s="24">
        <f>IF(J11=1,0,IF(J11=2,1,0))</f>
        <v/>
      </c>
      <c r="S99" s="24">
        <f>IF(J14=1,1,IF(J14=2,0,0))</f>
        <v/>
      </c>
      <c r="T99" s="24">
        <f>IF(J18=1,1,IF(J18=2,0,0))</f>
        <v/>
      </c>
      <c r="U99" s="25">
        <f>SUM(D99:T99)</f>
        <v/>
      </c>
      <c r="V99" s="24" t="n"/>
      <c r="W99" s="24" t="n"/>
      <c r="X99" s="24" t="n"/>
      <c r="Y99" s="25" t="n"/>
      <c r="Z99" s="25" t="n"/>
      <c r="AA99" s="24" t="n"/>
      <c r="AB99" s="24" t="n"/>
      <c r="AC99" s="24" t="n"/>
      <c r="AD99" s="24" t="n"/>
      <c r="AE99" s="24" t="n"/>
      <c r="AF99" s="24" t="n"/>
      <c r="AG99" s="24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</row>
    <row r="100" ht="12.75" customHeight="1" s="110">
      <c r="B100" s="24" t="n"/>
      <c r="C100" s="24" t="n"/>
      <c r="D100" s="24">
        <f>IF(J20=1,0,IF(J20=2,1,0))</f>
        <v/>
      </c>
      <c r="E100" s="24">
        <f>IF(J21=1,0,IF(J21=2,1,0))</f>
        <v/>
      </c>
      <c r="F100" s="24">
        <f>IF(J23=1,1,IF(J23=2,0,0))</f>
        <v/>
      </c>
      <c r="G100" s="24">
        <f>IF(J24=1,0,IF(J24=2,1,0))</f>
        <v/>
      </c>
      <c r="H100" s="24">
        <f>IF(J26=1,0,IF(J26=2,1,0))</f>
        <v/>
      </c>
      <c r="I100" s="24">
        <f>IF(J28=1,0,IF(J28=2,1,0))</f>
        <v/>
      </c>
      <c r="J100" s="24">
        <f>IF(J32=1,1,IF(J32=2,0,0))</f>
        <v/>
      </c>
      <c r="K100" s="24">
        <f>IF(J34=1,0,IF(J34=2,1,0))</f>
        <v/>
      </c>
      <c r="L100" s="24">
        <f>IF(J36=1,0,IF(J36=2,1,0))</f>
        <v/>
      </c>
      <c r="M100" s="24">
        <f>IF(J46=1,1,IF(J46=2,0,0))</f>
        <v/>
      </c>
      <c r="N100" s="24">
        <f>IF(J58=1,0,IF(J58=2,1,0))</f>
        <v/>
      </c>
      <c r="O100" s="24">
        <f>IF(J62=1,0,IF(J62=2,1,0))</f>
        <v/>
      </c>
      <c r="P100" s="24">
        <f>IF(J63=1,1,IF(J63=2,0,0))</f>
        <v/>
      </c>
      <c r="Q100" s="24">
        <f>IF(J64=1,0,IF(J64=2,1,0))</f>
        <v/>
      </c>
      <c r="R100" s="24">
        <f>IF(J66=1,0,IF(J66=2,1,0))</f>
        <v/>
      </c>
      <c r="S100" s="24">
        <f>IF(L18=1,1,IF(L18=2,0,0))</f>
        <v/>
      </c>
      <c r="T100" s="24">
        <f>IF(L21=1,0,IF(L21=2,1,0))</f>
        <v/>
      </c>
      <c r="U100" s="25">
        <f>SUM(D100:T100)</f>
        <v/>
      </c>
      <c r="V100" s="24" t="n"/>
      <c r="W100" s="24" t="n"/>
      <c r="X100" s="24" t="n"/>
      <c r="Y100" s="25" t="n"/>
      <c r="Z100" s="25" t="n"/>
      <c r="AA100" s="24" t="n"/>
      <c r="AB100" s="24" t="n"/>
      <c r="AC100" s="24" t="n"/>
      <c r="AD100" s="24" t="n"/>
      <c r="AE100" s="24" t="n"/>
      <c r="AF100" s="24" t="n"/>
      <c r="AG100" s="24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</row>
    <row r="101" ht="12.75" customHeight="1" s="110">
      <c r="B101" s="24" t="n"/>
      <c r="C101" s="24" t="n"/>
      <c r="D101" s="24">
        <f>IF(L23=1,1,IF(L23=2,0,0))</f>
        <v/>
      </c>
      <c r="E101" s="24">
        <f>IF(L24=1,0,IF(L24=2,1,0))</f>
        <v/>
      </c>
      <c r="F101" s="24">
        <f>IF(L35=1,0,IF(L35=2,1,0))</f>
        <v/>
      </c>
      <c r="G101" s="24">
        <f>IF(L38=1,1,IF(L38=2,0,0))</f>
        <v/>
      </c>
      <c r="H101" s="24">
        <f>IF(L39=1,0,IF(L39=2,1,0))</f>
        <v/>
      </c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5">
        <f>SUM(D101:T101)</f>
        <v/>
      </c>
      <c r="V101" s="24">
        <f>SUM(U98:U101)</f>
        <v/>
      </c>
      <c r="W101" s="24" t="n"/>
      <c r="X101" s="24" t="n"/>
      <c r="Y101" s="25">
        <f>SUM(V101)</f>
        <v/>
      </c>
      <c r="Z101" s="25" t="n"/>
      <c r="AA101" s="24" t="n"/>
      <c r="AB101" s="24" t="n"/>
      <c r="AC101" s="24" t="n"/>
      <c r="AD101" s="24" t="n"/>
      <c r="AE101" s="24" t="n"/>
      <c r="AF101" s="24" t="n"/>
      <c r="AG101" s="24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</row>
    <row r="102" ht="12.75" customHeight="1" s="110">
      <c r="B102" s="24" t="n"/>
      <c r="C102" s="24" t="inlineStr">
        <is>
          <t>Pa</t>
        </is>
      </c>
      <c r="D102" s="24">
        <f>IF(D23=1,1,IF(D23=2,0,0))</f>
        <v/>
      </c>
      <c r="E102" s="24">
        <f>IF(D24=1,1,IF(D24=2,0,0))</f>
        <v/>
      </c>
      <c r="F102" s="24">
        <f>IF(D29=1,1,IF(D29=2,0,0))</f>
        <v/>
      </c>
      <c r="G102" s="24">
        <f>IF(D30=1,1,IF(D30=2,0,0))</f>
        <v/>
      </c>
      <c r="H102" s="24">
        <f>IF(D31=1,1,IF(D31=2,0,0))</f>
        <v/>
      </c>
      <c r="I102" s="24">
        <f>IF(D49=1,1,IF(D49=2,0,0))</f>
        <v/>
      </c>
      <c r="J102" s="24">
        <f>IF(F28=1,0,IF(F28=2,1,0))</f>
        <v/>
      </c>
      <c r="K102" s="24">
        <f>IF(F42=1,0,IF(F42=2,1,0))</f>
        <v/>
      </c>
      <c r="L102" s="24">
        <f>IF(F45=1,0,IF(F45=2,1,0))</f>
        <v/>
      </c>
      <c r="M102" s="24">
        <f>IF(F46=1,1,IF(F46=2,0,0))</f>
        <v/>
      </c>
      <c r="N102" s="24">
        <f>IF(F47=1,0,IF(F47=2,1,0))</f>
        <v/>
      </c>
      <c r="O102" s="24">
        <f>IF(F51=1,0,IF(F51=2,1,0))</f>
        <v/>
      </c>
      <c r="P102" s="24">
        <f>IF(F57=1,0,IF(F57=2,1,0))</f>
        <v/>
      </c>
      <c r="Q102" s="24">
        <f>IF(F60=1,1,IF(F60=2,0,0))</f>
        <v/>
      </c>
      <c r="R102" s="24">
        <f>IF(H25=1,1,IF(H25=2,0,0))</f>
        <v/>
      </c>
      <c r="S102" s="24">
        <f>IF(H31=1,1,IF(H31=2,0))</f>
        <v/>
      </c>
      <c r="T102" s="24">
        <f>IF(H32=1,1,IF(H32=2,0,0))</f>
        <v/>
      </c>
      <c r="U102" s="25">
        <f>SUM(D102:T102)</f>
        <v/>
      </c>
      <c r="V102" s="24" t="n"/>
      <c r="W102" s="24" t="n"/>
      <c r="X102" s="24" t="n"/>
      <c r="Y102" s="25" t="n"/>
      <c r="Z102" s="25" t="n"/>
      <c r="AA102" s="24" t="n"/>
      <c r="AB102" s="24" t="n"/>
      <c r="AC102" s="24" t="n"/>
      <c r="AD102" s="24" t="n"/>
      <c r="AE102" s="24" t="n"/>
      <c r="AF102" s="24" t="n"/>
      <c r="AG102" s="24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</row>
    <row r="103" ht="12.75" customHeight="1" s="110">
      <c r="B103" s="24" t="n"/>
      <c r="C103" s="24" t="n"/>
      <c r="D103" s="24">
        <f>IF(H33=1,1,IF(H33=2,0,0))</f>
        <v/>
      </c>
      <c r="E103" s="24">
        <f>IF(H49=1,1,IF(H49=2,0,0))</f>
        <v/>
      </c>
      <c r="F103" s="24">
        <f>IF(J61=1,1,IF(J61=2,0))</f>
        <v/>
      </c>
      <c r="G103" s="24">
        <f>IF(L11=1,0,IF(L11=2,1,0))</f>
        <v/>
      </c>
      <c r="H103" s="24">
        <f>IF(L22=1,0,IF(L22=2,1,0))</f>
        <v/>
      </c>
      <c r="I103" s="24">
        <f>IF(L26=1,1,IF(L26=2,0))</f>
        <v/>
      </c>
      <c r="J103" s="24">
        <f>IF(L33=1,0,IF(L33=2,1,0))</f>
        <v/>
      </c>
      <c r="K103" s="24">
        <f>IF(L38=1,1,IF(L38=2,0,0))</f>
        <v/>
      </c>
      <c r="L103" s="24">
        <f>IF(L44=1,1,IF(L44=2,0,0))</f>
        <v/>
      </c>
      <c r="M103" s="24">
        <f>IF(L50=1,0,IF(L50=2,1,0))</f>
        <v/>
      </c>
      <c r="N103" s="24">
        <f>IF(L51=1,0,IF(L51=2,1,0))</f>
        <v/>
      </c>
      <c r="O103" s="24">
        <f>IF(L52=1,1,IF(L52=2,0,0))</f>
        <v/>
      </c>
      <c r="P103" s="24">
        <f>IF(L53=1,0,IF(L53=2,1,0))</f>
        <v/>
      </c>
      <c r="Q103" s="24">
        <f>IF(L64=1,0,IF(L64=2,1,0))</f>
        <v/>
      </c>
      <c r="R103" s="24">
        <f>IF(N12=1,1,IF(N12=2,0,0))</f>
        <v/>
      </c>
      <c r="S103" s="24">
        <f>IF(N14=1,1,IF(N14=2,0,0))</f>
        <v/>
      </c>
      <c r="T103" s="24">
        <f>IF(N21=1,0,IF(N21=2,1,0))</f>
        <v/>
      </c>
      <c r="U103" s="25">
        <f>SUM(D103:T103)</f>
        <v/>
      </c>
      <c r="V103" s="24" t="n"/>
      <c r="W103" s="24" t="n"/>
      <c r="X103" s="24" t="n"/>
      <c r="Y103" s="25" t="n"/>
      <c r="Z103" s="25" t="n"/>
      <c r="AA103" s="24" t="n"/>
      <c r="AB103" s="24" t="n"/>
      <c r="AC103" s="24" t="n"/>
      <c r="AD103" s="24" t="n"/>
      <c r="AE103" s="24" t="n"/>
      <c r="AF103" s="24" t="n"/>
      <c r="AG103" s="24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</row>
    <row r="104" ht="12.75" customHeight="1" s="110">
      <c r="B104" s="24" t="n"/>
      <c r="C104" s="24" t="n"/>
      <c r="D104" s="24">
        <f>IF(N22=1,0,IF(N22=2,1,0))</f>
        <v/>
      </c>
      <c r="E104" s="24">
        <f>IF(N40=1,1,IF(N40=2,0,0))</f>
        <v/>
      </c>
      <c r="F104" s="24">
        <f>IF(N41=1,1,IF(N41=2,0,0))</f>
        <v/>
      </c>
      <c r="G104" s="24">
        <f>IF(N43=1,1,IF(N43=2,0,0))</f>
        <v/>
      </c>
      <c r="H104" s="24">
        <f>IF(N62=1,1,IF(N62=2,0,0))</f>
        <v/>
      </c>
      <c r="I104" s="24">
        <f>IF(P8=1,1,IF(P8=2,0,0))</f>
        <v/>
      </c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5">
        <f>SUM(D104:T104)</f>
        <v/>
      </c>
      <c r="V104" s="24">
        <f>SUM(U102:U104)</f>
        <v/>
      </c>
      <c r="W104" s="24" t="n"/>
      <c r="X104" s="24" t="n"/>
      <c r="Y104" s="25">
        <f>SUM(V104)</f>
        <v/>
      </c>
      <c r="Z104" s="25">
        <f>IF(D163&lt;&gt;0,D163,IF(E163&lt;&gt;0,E163,IF(F163&lt;&gt;0,F163,IF(G163&lt;&gt;0,G163,IF(H163&lt;&gt;0,H163)))))</f>
        <v/>
      </c>
      <c r="AA104" s="24" t="n"/>
      <c r="AB104" s="24" t="n"/>
      <c r="AC104" s="24" t="n"/>
      <c r="AD104" s="24" t="n"/>
      <c r="AE104" s="24" t="n"/>
      <c r="AF104" s="24" t="n"/>
      <c r="AG104" s="24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</row>
    <row r="105" ht="12.75" customHeight="1" s="110">
      <c r="B105" s="24" t="n"/>
      <c r="C105" s="24" t="inlineStr">
        <is>
          <t>Pt</t>
        </is>
      </c>
      <c r="D105" s="24">
        <f>IF(D10=1,0,IF(D10=2,1,0))</f>
        <v/>
      </c>
      <c r="E105" s="24">
        <f>IF(D16=1,0,IF(D16=2,1,0))</f>
        <v/>
      </c>
      <c r="F105" s="24">
        <f>IF(D18=1,1,IF(D18=2,0,0))</f>
        <v/>
      </c>
      <c r="G105" s="24">
        <f>IF(D23=1,1,IF(D23=2,0,0))</f>
        <v/>
      </c>
      <c r="H105" s="24">
        <f>IF(D30=1,1,IF(D30=2,0,0))</f>
        <v/>
      </c>
      <c r="I105" s="24">
        <f>IF(D38=1,1,IF(D38=2,0,0))</f>
        <v/>
      </c>
      <c r="J105" s="24">
        <f>IF(D40=1,0,IF(D40=2,1,0))</f>
        <v/>
      </c>
      <c r="K105" s="24">
        <f>IF(D45=1,1,IF(D45=2,0,0))</f>
        <v/>
      </c>
      <c r="L105" s="24">
        <f>IF(D63=1,1,IF(D63=2,0,0))</f>
        <v/>
      </c>
      <c r="M105" s="24">
        <f>IF(F12=1,1,IF(F12=2,0,0))</f>
        <v/>
      </c>
      <c r="N105" s="24">
        <f>IF(F20=1,1,IF(F20=2,0,0))</f>
        <v/>
      </c>
      <c r="O105" s="24">
        <f>IF(F29=1,1,IF(F29=2,0,0))</f>
        <v/>
      </c>
      <c r="P105" s="24">
        <f>IF(F36=1,1,IF(F36=2,0,0))</f>
        <v/>
      </c>
      <c r="Q105" s="24">
        <f>IF(F41=1,1,IF(F41=2,0,0))</f>
        <v/>
      </c>
      <c r="R105" s="24">
        <f>IF(F56=1,0,IF(F56=2,1,0))</f>
        <v/>
      </c>
      <c r="S105" s="24">
        <f>IF(H17=1,1,IF(H17=2,0,0))</f>
        <v/>
      </c>
      <c r="T105" s="24">
        <f>IF(H27=1,0,IF(H27=2,1,0))</f>
        <v/>
      </c>
      <c r="U105" s="25">
        <f>SUM(D105:T105)</f>
        <v/>
      </c>
      <c r="V105" s="24" t="n"/>
      <c r="W105" s="24" t="n"/>
      <c r="X105" s="24" t="n"/>
      <c r="Y105" s="25" t="n"/>
      <c r="Z105" s="25" t="n"/>
      <c r="AA105" s="24" t="n"/>
      <c r="AB105" s="24" t="n"/>
      <c r="AC105" s="24" t="n"/>
      <c r="AD105" s="24" t="n"/>
      <c r="AE105" s="24" t="n"/>
      <c r="AF105" s="24" t="n"/>
      <c r="AG105" s="24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</row>
    <row r="106" ht="12.75" customHeight="1" s="110">
      <c r="B106" s="24" t="n"/>
      <c r="C106" s="24" t="n"/>
      <c r="D106" s="24">
        <f>IF(H34=1,1,IF(H34=2,0,0))</f>
        <v/>
      </c>
      <c r="E106" s="24">
        <f>IF(H52=1,0,IF(H52=2,1,0))</f>
        <v/>
      </c>
      <c r="F106" s="24">
        <f>IF(H57=1,1,IF(H57=2,0,0))</f>
        <v/>
      </c>
      <c r="G106" s="24">
        <f>IF(H61=1,0,IF(H61=2,1,0))</f>
        <v/>
      </c>
      <c r="H106" s="24">
        <f>IF(H62=1,1,IF(H62=2,0,0))</f>
        <v/>
      </c>
      <c r="I106" s="24">
        <f>IF(J23=1,1,IF(J23=2,0,0))</f>
        <v/>
      </c>
      <c r="J106" s="24">
        <f>IF(J45=1,1,IF(J45=2,0,0))</f>
        <v/>
      </c>
      <c r="K106" s="24">
        <f>IF(L9=1,1,IF(L9=2,0,0))</f>
        <v/>
      </c>
      <c r="L106" s="24">
        <f>IF(L40=1,1,IF(L40=2,0,0))</f>
        <v/>
      </c>
      <c r="M106" s="24">
        <f>IF(L42=1,1,IF(L42=2,0,0))</f>
        <v/>
      </c>
      <c r="N106" s="24">
        <f>IF(L44=1,1,IF(L44=2,0,0))</f>
        <v/>
      </c>
      <c r="O106" s="24">
        <f>IF(L52=1,1,IF(L52=2,0,0))</f>
        <v/>
      </c>
      <c r="P106" s="24">
        <f>IF(L56=1,1,IF(L56=2,0,0))</f>
        <v/>
      </c>
      <c r="Q106" s="24">
        <f>IF(L60=1,0,IF(L60=2,1,0))</f>
        <v/>
      </c>
      <c r="R106" s="24">
        <f>IF(N8=1,1,IF(N8=2,0,0))</f>
        <v/>
      </c>
      <c r="S106" s="24">
        <f>IF(N9=1,1,IF(N9=2,0,0))</f>
        <v/>
      </c>
      <c r="T106" s="24">
        <f>IF(N11=1,1,IF(N11=2,0,0))</f>
        <v/>
      </c>
      <c r="U106" s="25">
        <f>SUM(D106:T106)</f>
        <v/>
      </c>
      <c r="V106" s="24" t="n"/>
      <c r="W106" s="24" t="n"/>
      <c r="X106" s="24" t="n"/>
      <c r="Y106" s="25" t="n"/>
      <c r="Z106" s="25" t="n"/>
      <c r="AA106" s="24" t="n"/>
      <c r="AB106" s="24" t="n"/>
      <c r="AC106" s="24" t="n"/>
      <c r="AD106" s="24" t="n"/>
      <c r="AE106" s="24" t="n"/>
      <c r="AF106" s="24" t="n"/>
      <c r="AG106" s="24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</row>
    <row r="107" ht="12.75" customHeight="1" s="110">
      <c r="B107" s="24" t="n"/>
      <c r="C107" s="24" t="n"/>
      <c r="D107" s="24">
        <f>IF(N15=1,1,IF(N15=2,0,0))</f>
        <v/>
      </c>
      <c r="E107" s="24">
        <f>IF(N16=1,1,IF(N16=2,0,0))</f>
        <v/>
      </c>
      <c r="F107" s="24">
        <f>IF(N17=1,1,IF(N17=2,0,0))</f>
        <v/>
      </c>
      <c r="G107" s="24">
        <f>IF(N20=1,1,IF(N20=2,0,0))</f>
        <v/>
      </c>
      <c r="H107" s="24">
        <f>IF(N23=1,1,IF(N23=2,0,0))</f>
        <v/>
      </c>
      <c r="I107" s="24">
        <f>IF(N24=1,1,IF(N24=2,0,0))</f>
        <v/>
      </c>
      <c r="J107" s="24">
        <f>IF(N27=1,1,IF(N27=2,0,0))</f>
        <v/>
      </c>
      <c r="K107" s="24">
        <f>IF(N28=1,0,IF(N28=2,1,0))</f>
        <v/>
      </c>
      <c r="L107" s="24">
        <f>IF(N32=1,1,IF(N32=2,0,0))</f>
        <v/>
      </c>
      <c r="M107" s="24">
        <f>IF(N33=1,1,IF(N33=2,0,0))</f>
        <v/>
      </c>
      <c r="N107" s="24">
        <f>IF(N34=1,1,IF(N34=2,0,0))</f>
        <v/>
      </c>
      <c r="O107" s="24">
        <f>IF(N35=1,1,IF(N35=2,0,0))</f>
        <v/>
      </c>
      <c r="P107" s="24">
        <f>IF(N36=1,1,IF(N36=2,0,0))</f>
        <v/>
      </c>
      <c r="Q107" s="24">
        <f>IF(N38=1,1,IF(N38=2,0,0))</f>
        <v/>
      </c>
      <c r="R107" s="24" t="n"/>
      <c r="S107" s="24" t="n"/>
      <c r="T107" s="24" t="n"/>
      <c r="U107" s="25">
        <f>SUM(D107:T107)</f>
        <v/>
      </c>
      <c r="V107" s="24">
        <f>SUM(U105:U107)</f>
        <v/>
      </c>
      <c r="W107" s="24">
        <f>SUM(U78:U79)</f>
        <v/>
      </c>
      <c r="X107" s="24">
        <f>SUM(V107:W107)</f>
        <v/>
      </c>
      <c r="Y107" s="25">
        <f>SUM(X107)</f>
        <v/>
      </c>
      <c r="Z107" s="25">
        <f>IF(D164&lt;&gt;0,D164,IF(E164&lt;&gt;0,E164,IF(F164&lt;&gt;0,F164,IF(G164&lt;&gt;0,G164,IF(H164&lt;&gt;0,H164,IF(I164&lt;&gt;0,I164,IF(J164&lt;&gt;0,J164,IF(K164&lt;&gt;0,K164,0))))))))</f>
        <v/>
      </c>
      <c r="AA107" s="24" t="n"/>
      <c r="AB107" s="24" t="n"/>
      <c r="AC107" s="24" t="n"/>
      <c r="AD107" s="24" t="n"/>
      <c r="AE107" s="24" t="n"/>
      <c r="AF107" s="24" t="n"/>
      <c r="AG107" s="24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</row>
    <row r="108" ht="12.75" customHeight="1" s="110">
      <c r="B108" s="24" t="n"/>
      <c r="C108" s="24" t="inlineStr">
        <is>
          <t>Sc</t>
        </is>
      </c>
      <c r="D108" s="24">
        <f>IF(D13=1,0,IF(D13=2,1,0))</f>
        <v/>
      </c>
      <c r="E108" s="24">
        <f>IF(D16=1,0,IF(D16=2,1,0))</f>
        <v/>
      </c>
      <c r="F108" s="24">
        <f>IF(D19=1,0,IF(D19=2,1,0))</f>
        <v/>
      </c>
      <c r="G108" s="24">
        <f>IF(D23=1,1,IF(D23=2,0,0))</f>
        <v/>
      </c>
      <c r="H108" s="24">
        <f>IF(D24=1,1,IF(D24=2,0,0))</f>
        <v/>
      </c>
      <c r="I108" s="24">
        <f>IF(D28=1,1,IF(D28=2,0,0))</f>
        <v/>
      </c>
      <c r="J108" s="24">
        <f>IF(D29=1,1,IF(D29=2,0,0))</f>
        <v/>
      </c>
      <c r="K108" s="24">
        <f>IF(D30=1,1,IF(D30=2,0,0))</f>
        <v/>
      </c>
      <c r="L108" s="24">
        <f>IF(D38=1,1,IF(D38=2,0,0))</f>
        <v/>
      </c>
      <c r="M108" s="24">
        <f>IF(D39=1,1,IF(D39=2,0,0))</f>
        <v/>
      </c>
      <c r="N108" s="24">
        <f>IF(D41=1,0,IF(D41=2,1,0))</f>
        <v/>
      </c>
      <c r="O108" s="24">
        <f>IF(D42=1,1,IF(D42=2,0,0))</f>
        <v/>
      </c>
      <c r="P108" s="24">
        <f>IF(D45=1,1,IF(D45=2,0,0))</f>
        <v/>
      </c>
      <c r="Q108" s="24">
        <f>IF(D49=1,1,IF(D49=2,0,0))</f>
        <v/>
      </c>
      <c r="R108" s="24">
        <f>IF(D51=1,1,IF(D51=2,0,0))</f>
        <v/>
      </c>
      <c r="S108" s="24">
        <f>IF(D53=1,1,IF(D53=2,0,0))</f>
        <v/>
      </c>
      <c r="T108" s="24">
        <f>IF(D55=1,1,IF(D55=2,0,0))</f>
        <v/>
      </c>
      <c r="U108" s="25">
        <f>SUM(D108:T108)</f>
        <v/>
      </c>
      <c r="V108" s="24" t="n"/>
      <c r="W108" s="24" t="n"/>
      <c r="X108" s="24" t="n"/>
      <c r="Y108" s="25" t="n"/>
      <c r="Z108" s="25" t="n"/>
      <c r="AA108" s="24" t="n"/>
      <c r="AB108" s="24" t="n"/>
      <c r="AC108" s="24" t="n"/>
      <c r="AD108" s="24" t="n"/>
      <c r="AE108" s="24" t="n"/>
      <c r="AF108" s="24" t="n"/>
      <c r="AG108" s="24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</row>
    <row r="109" ht="12.75" customHeight="1" s="110">
      <c r="B109" s="24" t="n"/>
      <c r="C109" s="24" t="n"/>
      <c r="D109" s="24">
        <f>IF(F12=1,1,IF(F12=2,0,0))</f>
        <v/>
      </c>
      <c r="E109" s="24">
        <f>IF(F32=1,1,IF(F32=2,0,0))</f>
        <v/>
      </c>
      <c r="F109" s="24">
        <f>IF(F37=1,0,IF(F37=2,1,0))</f>
        <v/>
      </c>
      <c r="G109" s="24">
        <f>IF(F38=1,0,IF(F38=2,1,0))</f>
        <v/>
      </c>
      <c r="H109" s="24">
        <f>IF(F39=1,1,IF(F39=2,0,0))</f>
        <v/>
      </c>
      <c r="I109" s="24">
        <f>IF(F53=1,0,IF(F53=2,1,0))</f>
        <v/>
      </c>
      <c r="J109" s="24">
        <f>IF(H25=1,1,IF(H25=2,0,0))</f>
        <v/>
      </c>
      <c r="K109" s="24">
        <f>IF(H32=1,1,IF(H32=2,0,0))</f>
        <v/>
      </c>
      <c r="L109" s="24">
        <f>IF(H34=1,1,IF(H34=2,0,0))</f>
        <v/>
      </c>
      <c r="M109" s="24">
        <f>IF(H52=1,0,IF(H52=2,1,0))</f>
        <v/>
      </c>
      <c r="N109" s="24">
        <f>IF(H53=1,1,IF(H53=2,0,0))</f>
        <v/>
      </c>
      <c r="O109" s="24">
        <f>IF(H55=1,1,IF(H55=2,0,0))</f>
        <v/>
      </c>
      <c r="P109" s="24">
        <f>IF(H57=1,1,IF(H57=2,0,0))</f>
        <v/>
      </c>
      <c r="Q109" s="24">
        <f>IF(H64=1,0,IF(H64=2,1,0))</f>
        <v/>
      </c>
      <c r="R109" s="24">
        <f>IF(H66=1,0,IF(H66=2,1,0))</f>
        <v/>
      </c>
      <c r="S109" s="24">
        <f>IF(H67=1,1,IF(H67=2,0,0))</f>
        <v/>
      </c>
      <c r="T109" s="24">
        <f>IF(J9=1,1,IF(J9=2,0,0))</f>
        <v/>
      </c>
      <c r="U109" s="25">
        <f>SUM(D109:T109)</f>
        <v/>
      </c>
      <c r="V109" s="24" t="n"/>
      <c r="W109" s="24" t="n"/>
      <c r="X109" s="24" t="n"/>
      <c r="Y109" s="25" t="n"/>
      <c r="Z109" s="25" t="n"/>
      <c r="AA109" s="24" t="n"/>
      <c r="AB109" s="24" t="n"/>
      <c r="AC109" s="24" t="n"/>
      <c r="AD109" s="24" t="n"/>
      <c r="AE109" s="24" t="n"/>
      <c r="AF109" s="24" t="n"/>
      <c r="AG109" s="24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</row>
    <row r="110" ht="12.75" customHeight="1" s="110">
      <c r="B110" s="24" t="n"/>
      <c r="C110" s="24" t="n"/>
      <c r="D110" s="24">
        <f>IF(J17=1,1,IF(J17=2,0,0))</f>
        <v/>
      </c>
      <c r="E110" s="24">
        <f>IF(J19=1,0,IF(J19=2,1,0))</f>
        <v/>
      </c>
      <c r="F110" s="24">
        <f>IF(J37=1,0,IF(J37=2,1,0))</f>
        <v/>
      </c>
      <c r="G110" s="24">
        <f>IF(J45=1,1,IF(J45=2,0,0))</f>
        <v/>
      </c>
      <c r="H110" s="24">
        <f>IF(J48=1,1,IF(J48=2,0,0))</f>
        <v/>
      </c>
      <c r="I110" s="24">
        <f>IF(J56=1,1,IF(J56=2,0,0))</f>
        <v/>
      </c>
      <c r="J110" s="24">
        <f>IF(J60=1,1,IF(J60=2,0,0))</f>
        <v/>
      </c>
      <c r="K110" s="24">
        <f>IF(J61=1,1,IF(J61=2,0,0))</f>
        <v/>
      </c>
      <c r="L110" s="24">
        <f>IF(L9=1,1,IF(L9=2,0,0))</f>
        <v/>
      </c>
      <c r="M110" s="24">
        <f>IF(L14=1,1,IF(L14=2,0,0))</f>
        <v/>
      </c>
      <c r="N110" s="24">
        <f>IF(L19=1,1,IF(L19=2,0,0))</f>
        <v/>
      </c>
      <c r="O110" s="24">
        <f>IF(L22=1,0,IF(L22=2,1,0))</f>
        <v/>
      </c>
      <c r="P110" s="24">
        <f>IF(L23=1,1,IF(L23=2,0,0))</f>
        <v/>
      </c>
      <c r="Q110" s="24">
        <f>IF(L35=1,1,IF(L35=2,0,0))</f>
        <v/>
      </c>
      <c r="R110" s="24">
        <f>IF(L40=1,1,IF(L40=2,0,0))</f>
        <v/>
      </c>
      <c r="S110" s="24">
        <f>IF(L41=1,1,IF(L41=2,0,0))</f>
        <v/>
      </c>
      <c r="T110" s="24">
        <f>IF(L43=1,0,IF(L43=2,1,0))</f>
        <v/>
      </c>
      <c r="U110" s="25">
        <f>SUM(D110:T110)</f>
        <v/>
      </c>
      <c r="V110" s="24" t="n"/>
      <c r="W110" s="24" t="n"/>
      <c r="X110" s="24" t="n"/>
      <c r="Y110" s="25" t="n"/>
      <c r="Z110" s="25" t="n"/>
      <c r="AA110" s="24" t="n"/>
      <c r="AB110" s="24" t="n"/>
      <c r="AC110" s="24" t="n"/>
      <c r="AD110" s="24" t="n"/>
      <c r="AE110" s="24" t="n"/>
      <c r="AF110" s="24" t="n"/>
      <c r="AG110" s="24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</row>
    <row r="111" ht="12.75" customHeight="1" s="110">
      <c r="B111" s="24" t="n"/>
      <c r="C111" s="24" t="n"/>
      <c r="D111" s="24">
        <f>IF(L44=1,1,IF(L44=2,0,0))</f>
        <v/>
      </c>
      <c r="E111" s="24">
        <f>IF(L45=1,0,IF(L45=2,1,0))</f>
        <v/>
      </c>
      <c r="F111" s="24">
        <f>IF(L46=1,1,IF(L46=2,0,0))</f>
        <v/>
      </c>
      <c r="G111" s="24">
        <f>IF(L47=1,0,IF(L47=2,1,0))</f>
        <v/>
      </c>
      <c r="H111" s="24">
        <f>IF(L48=1,1,IF(L48=2,0,0))</f>
        <v/>
      </c>
      <c r="I111" s="24">
        <f>IF(L54=1,1,IF(L54=2,0,0))</f>
        <v/>
      </c>
      <c r="J111" s="24">
        <f>IF(L57=1,0,IF(L57=2,1,0))</f>
        <v/>
      </c>
      <c r="K111" s="24">
        <f>IF(L58=1,1,IF(L58=2,0,0))</f>
        <v/>
      </c>
      <c r="L111" s="24">
        <f>IF(L59=1,1,IF(L59=2,0,0))</f>
        <v/>
      </c>
      <c r="M111" s="24">
        <f>IF(L62=1,0,IF(L62=2,1,0))</f>
        <v/>
      </c>
      <c r="N111" s="24">
        <f>IF(L63=1,1,IF(L63=2,0,0))</f>
        <v/>
      </c>
      <c r="O111" s="24">
        <f>IF(L65=1,1,IF(L65=2,0,0))</f>
        <v/>
      </c>
      <c r="P111" s="24">
        <f>IF(L66=1,1,IF(L66=2,0,0))</f>
        <v/>
      </c>
      <c r="Q111" s="24">
        <f>IF(N10=1,1,IF(N10=2,0,0))</f>
        <v/>
      </c>
      <c r="R111" s="24">
        <f>IF(N14=1,1,IF(N14=2,0,0))</f>
        <v/>
      </c>
      <c r="S111" s="24">
        <f>IF(N18=1,1,IF(N18=2,0,0))</f>
        <v/>
      </c>
      <c r="T111" s="24">
        <f>IF(N23=1,1,IF(N23=2,0,0))</f>
        <v/>
      </c>
      <c r="U111" s="25">
        <f>SUM(D111:T111)</f>
        <v/>
      </c>
      <c r="V111" s="24" t="n"/>
      <c r="W111" s="24" t="n"/>
      <c r="X111" s="24" t="n"/>
      <c r="Y111" s="25" t="n"/>
      <c r="Z111" s="25" t="n"/>
      <c r="AA111" s="24" t="n"/>
      <c r="AB111" s="24" t="n"/>
      <c r="AC111" s="24" t="n"/>
      <c r="AD111" s="24" t="n"/>
      <c r="AE111" s="24" t="n"/>
      <c r="AF111" s="24" t="n"/>
      <c r="AG111" s="24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</row>
    <row r="112" ht="12.75" customHeight="1" s="110">
      <c r="B112" s="24" t="n"/>
      <c r="C112" s="24" t="n"/>
      <c r="D112" s="24">
        <f>IF(N26=1,1,IF(N26=2,0,0))</f>
        <v/>
      </c>
      <c r="E112" s="24">
        <f>IF(N27=1,1,IF(N27=2,0,0))</f>
        <v/>
      </c>
      <c r="F112" s="24">
        <f>IF(N29=1,1,IF(N29=2,0,0))</f>
        <v/>
      </c>
      <c r="G112" s="24">
        <f>IF(N30=1,1,IF(N30=2,0,0))</f>
        <v/>
      </c>
      <c r="H112" s="24">
        <f>IF(N32=1,1,IF(N32=2,0,0))</f>
        <v/>
      </c>
      <c r="I112" s="24">
        <f>IF(N36=1,1,IF(N36=2,0,0))</f>
        <v/>
      </c>
      <c r="J112" s="24">
        <f>IF(N39=1,1,IF(N39=2,0,0))</f>
        <v/>
      </c>
      <c r="K112" s="24">
        <f>IF(N40=1,1,IF(N40=2,0,0))</f>
        <v/>
      </c>
      <c r="L112" s="24">
        <f>IF(N50=1,0,IF(N50=2,1,0))</f>
        <v/>
      </c>
      <c r="M112" s="24">
        <f>IF(N62=1,1,IF(N62=2,0,0))</f>
        <v/>
      </c>
      <c r="N112" s="24" t="n"/>
      <c r="O112" s="24" t="n"/>
      <c r="P112" s="24" t="n"/>
      <c r="Q112" s="24" t="n"/>
      <c r="R112" s="24" t="n"/>
      <c r="S112" s="24" t="n"/>
      <c r="T112" s="24" t="n"/>
      <c r="U112" s="25">
        <f>SUM(D112:T112)</f>
        <v/>
      </c>
      <c r="V112" s="24">
        <f>SUM(U108:U112)</f>
        <v/>
      </c>
      <c r="W112" s="24">
        <f>SUM(U78:U79)</f>
        <v/>
      </c>
      <c r="X112" s="24">
        <f>SUM(V112:W112)</f>
        <v/>
      </c>
      <c r="Y112" s="25">
        <f>SUM(X112)</f>
        <v/>
      </c>
      <c r="Z112" s="25">
        <f>IF(O165=999,"Escala por debajo de la P.T. mínima",O165)</f>
        <v/>
      </c>
      <c r="AA112" s="24" t="n"/>
      <c r="AB112" s="24" t="n"/>
      <c r="AC112" s="24" t="n"/>
      <c r="AD112" s="24" t="n"/>
      <c r="AE112" s="24" t="n"/>
      <c r="AF112" s="24" t="n"/>
      <c r="AG112" s="24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</row>
    <row r="113" ht="12.75" customHeight="1" s="110">
      <c r="B113" s="24" t="n"/>
      <c r="C113" s="24" t="inlineStr">
        <is>
          <t>Ma</t>
        </is>
      </c>
      <c r="D113" s="24">
        <f>IF(D20=1,1,IF(D20=2,0,0))</f>
        <v/>
      </c>
      <c r="E113" s="24">
        <f>IF(D22=1,1,IF(D22=2,0,0))</f>
        <v/>
      </c>
      <c r="F113" s="24">
        <f>IF(D28=1,1,IF(D28=2,0,0))</f>
        <v/>
      </c>
      <c r="G113" s="24">
        <f>IF(D30=1,1,IF(D30=2,0,0))</f>
        <v/>
      </c>
      <c r="H113" s="24">
        <f>IF(D57=1,1,IF(D57=2,0,0))</f>
        <v/>
      </c>
      <c r="I113" s="24">
        <f>IF(D62=1,1,IF(D62=2,0,0))</f>
        <v/>
      </c>
      <c r="J113" s="24">
        <f>IF(F8=1,1,IF(F8=2,0,0))</f>
        <v/>
      </c>
      <c r="K113" s="24">
        <f>IF(F32=1,1,IF(F32=2,0,0))</f>
        <v/>
      </c>
      <c r="L113" s="24">
        <f>IF(F34=1,1,IF(F34=2,0,0))</f>
        <v/>
      </c>
      <c r="M113" s="24">
        <f>IF(F35=1,0,IF(F35=2,1,0))</f>
        <v/>
      </c>
      <c r="N113" s="24">
        <f>IF(F40=1,0,IF(F40=2,1,0))</f>
        <v/>
      </c>
      <c r="O113" s="24">
        <f>IF(F45=1,1,IF(F45=2,0,0))</f>
        <v/>
      </c>
      <c r="P113" s="24">
        <f>IF(F47=1,0,IF(F47=2,1,0))</f>
        <v/>
      </c>
      <c r="Q113" s="24">
        <f>IF(F53=1,0,IF(F53=2,1,0))</f>
        <v/>
      </c>
      <c r="R113" s="24">
        <f>IF(F54=1,0,IF(F54=2,1,0))</f>
        <v/>
      </c>
      <c r="S113" s="24">
        <f>IF(F60=1,1,IF(F60=2,0,0))</f>
        <v/>
      </c>
      <c r="T113" s="24">
        <f>IF(H9=1,1,IF(H9=2,0,0))</f>
        <v/>
      </c>
      <c r="U113" s="25">
        <f>SUM(D113:T113)</f>
        <v/>
      </c>
      <c r="V113" s="24" t="n"/>
      <c r="W113" s="24" t="n"/>
      <c r="X113" s="24" t="n"/>
      <c r="Y113" s="25" t="n"/>
      <c r="Z113" s="25" t="n"/>
      <c r="AA113" s="24" t="n"/>
      <c r="AB113" s="24" t="n"/>
      <c r="AC113" s="24" t="n"/>
      <c r="AD113" s="24" t="n"/>
      <c r="AE113" s="24" t="n"/>
      <c r="AF113" s="24" t="n"/>
      <c r="AG113" s="24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</row>
    <row r="114" ht="12.75" customHeight="1" s="110">
      <c r="B114" s="24" t="n"/>
      <c r="C114" s="24" t="n"/>
      <c r="D114" s="24">
        <f>IF(H17=1,1,IF(H17=2,0,0))</f>
        <v/>
      </c>
      <c r="E114" s="24">
        <f>IF(H23=1,0,IF(H23=2,1,0))</f>
        <v/>
      </c>
      <c r="F114" s="24">
        <f>IF(H32=1,1,IF(H32=2,0,0))</f>
        <v/>
      </c>
      <c r="G114" s="24">
        <f>IF(H41=1,0,IF(H41=2,1,0))</f>
        <v/>
      </c>
      <c r="H114" s="24">
        <f>IF(H42=1,1,IF(H42=2,0,0))</f>
        <v/>
      </c>
      <c r="I114" s="24">
        <f>IF(H45=1,0,IF(H45=2,1,0))</f>
        <v/>
      </c>
      <c r="J114" s="24">
        <f>IF(H54=1,0,IF(H54=2,1,0))</f>
        <v/>
      </c>
      <c r="K114" s="24">
        <f>IF(H55=1,1,IF(H55=2,0,0))</f>
        <v/>
      </c>
      <c r="L114" s="24">
        <f>IF(H56=1,1,IF(H56=2,0,0))</f>
        <v/>
      </c>
      <c r="M114" s="24">
        <f>IF(J9=1,1,IF(J9=2,0,0))</f>
        <v/>
      </c>
      <c r="N114" s="24">
        <f>IF(J17=1,1,IF(J17=2,0,0))</f>
        <v/>
      </c>
      <c r="O114" s="24">
        <f>IF(J27=1,1,IF(J27=2,0,0))</f>
        <v/>
      </c>
      <c r="P114" s="24">
        <f>IF(J32=1,1,IF(J32=2,0,0))</f>
        <v/>
      </c>
      <c r="Q114" s="24">
        <f>IF(J33=1,1,IF(J33=2,0,0))</f>
        <v/>
      </c>
      <c r="R114" s="24">
        <f>IF(J38=1,1,IF(J38=2,0,0))</f>
        <v/>
      </c>
      <c r="S114" s="24">
        <f>IF(J39=1,1,IF(J39=2,0,0))</f>
        <v/>
      </c>
      <c r="T114" s="24">
        <f>IF(J45=1,1,IF(J45=2,0,0))</f>
        <v/>
      </c>
      <c r="U114" s="25">
        <f>SUM(D114:T114)</f>
        <v/>
      </c>
      <c r="V114" s="24" t="n"/>
      <c r="W114" s="24" t="n"/>
      <c r="X114" s="24" t="n"/>
      <c r="Y114" s="25" t="n"/>
      <c r="Z114" s="25" t="n"/>
      <c r="AA114" s="24" t="n"/>
      <c r="AB114" s="24" t="n"/>
      <c r="AC114" s="24" t="n"/>
      <c r="AD114" s="24" t="n"/>
      <c r="AE114" s="24" t="n"/>
      <c r="AF114" s="24" t="n"/>
      <c r="AG114" s="24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</row>
    <row r="115" ht="12.75" customHeight="1" s="110">
      <c r="B115" s="24" t="n"/>
      <c r="C115" s="24" t="n"/>
      <c r="D115" s="24">
        <f>IF(J47=1,1,IF(J47=2,0,0))</f>
        <v/>
      </c>
      <c r="E115" s="24">
        <f>IF(J54=1,1,IF(J54=2,0,0))</f>
        <v/>
      </c>
      <c r="F115" s="24">
        <f>IF(J56=1,1,IF(J56=2,0,0))</f>
        <v/>
      </c>
      <c r="G115" s="24">
        <f>IF(J65=1,1,IF(J65=2,0,0))</f>
        <v/>
      </c>
      <c r="H115" s="24">
        <f>IF(L9=1,1,IF(L9=2,0,0))</f>
        <v/>
      </c>
      <c r="I115" s="24">
        <f>IF(L10=1,0,IF(L10=2,1,0))</f>
        <v/>
      </c>
      <c r="J115" s="24">
        <f>IF(L11=1,1,IF(L11=2,0,0))</f>
        <v/>
      </c>
      <c r="K115" s="24">
        <f>IF(L15=1,1,IF(L15=2,0,0))</f>
        <v/>
      </c>
      <c r="L115" s="24">
        <f>IF(L17=1,1,IF(L17=2,0,0))</f>
        <v/>
      </c>
      <c r="M115" s="24">
        <f>IF(L20=1,1,IF(L20=2,0,0))</f>
        <v/>
      </c>
      <c r="N115" s="24">
        <f>IF(L30=1,0,IF(L30=2,1,0))</f>
        <v/>
      </c>
      <c r="O115" s="24">
        <f>IF(L36=1,1,IF(L36=2,0,0))</f>
        <v/>
      </c>
      <c r="P115" s="24" t="n"/>
      <c r="Q115" s="24" t="n"/>
      <c r="R115" s="24" t="n"/>
      <c r="S115" s="24" t="n"/>
      <c r="T115" s="24" t="n"/>
      <c r="U115" s="25">
        <f>SUM(D115:T115)</f>
        <v/>
      </c>
      <c r="V115" s="24">
        <f>SUM(U113:U115)</f>
        <v/>
      </c>
      <c r="W115" s="24">
        <f>SUM(U78:U79)*0.2</f>
        <v/>
      </c>
      <c r="X115" s="24">
        <f>SUM(V115+X164)</f>
        <v/>
      </c>
      <c r="Y115" s="25">
        <f>SUM(X115)</f>
        <v/>
      </c>
      <c r="Z115" s="25">
        <f>IF(D166&lt;&gt;0,D166,IF(E166&lt;&gt;0,E166,IF(F166&lt;&gt;0,F166,IF(G166&lt;&gt;0,G166,IF(H166&lt;&gt;0,H166,IF(I166&lt;&gt;0,I166,0))))))</f>
        <v/>
      </c>
      <c r="AA115" s="24" t="n"/>
      <c r="AB115" s="24" t="n"/>
      <c r="AC115" s="24" t="n"/>
      <c r="AD115" s="24" t="n"/>
      <c r="AE115" s="24" t="n"/>
      <c r="AF115" s="24" t="n"/>
      <c r="AG115" s="24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</row>
    <row r="116" ht="12.75" customHeight="1" s="110">
      <c r="B116" s="24" t="n"/>
      <c r="C116" s="24" t="inlineStr">
        <is>
          <t>Si</t>
        </is>
      </c>
      <c r="D116" s="24">
        <f>IF(D32=1,0,IF(D32=2,1,0))</f>
        <v/>
      </c>
      <c r="E116" s="24">
        <f>IF(D38=1,1,IF(D38=2,0,0))</f>
        <v/>
      </c>
      <c r="F116" s="24">
        <f>IF(D39=1,0,IF(D39=2,1,0))</f>
        <v/>
      </c>
      <c r="G116" s="24">
        <f>IF(D56=1,0,IF(D56=2,1,0))</f>
        <v/>
      </c>
      <c r="H116" s="24">
        <f>IF(D63=1,1,IF(D63=2,0,0))</f>
        <v/>
      </c>
      <c r="I116" s="24">
        <f>IF(F17=1,1,IF(F17=2,0,0))</f>
        <v/>
      </c>
      <c r="J116" s="24">
        <f>IF(F26=1,0,IF(F26=2,1,0))</f>
        <v/>
      </c>
      <c r="K116" s="24">
        <f>IF(F33=1,0,IF(F33=2,1,0))</f>
        <v/>
      </c>
      <c r="L116" s="24">
        <f>IF(F47=1,1,IF(F47=2,0,0))</f>
        <v/>
      </c>
      <c r="M116" s="24">
        <f>IF(F51=1,1,IF(F51=2,0,0))</f>
        <v/>
      </c>
      <c r="N116" s="24">
        <f>IF(F53=1,0,IF(F53=2,1,0))</f>
        <v/>
      </c>
      <c r="O116" s="24">
        <f>IF(F57=1,1,IF(F57=2,0,0))</f>
        <v/>
      </c>
      <c r="P116" s="24">
        <f>IF(F59=1,0,IF(F59=2,1,0))</f>
        <v/>
      </c>
      <c r="Q116" s="24">
        <f>IF(H14=1,1,IF(H14=2,0,0))</f>
        <v/>
      </c>
      <c r="R116" s="24">
        <f>IF(H18=1,0,IF(H18=2,1,0))</f>
        <v/>
      </c>
      <c r="S116" s="24">
        <f>IF(H22=1,1,IF(H22=2,0,0))</f>
        <v/>
      </c>
      <c r="T116" s="24">
        <f>IF(H45=1,1,IF(H45=2,0,0))</f>
        <v/>
      </c>
      <c r="U116" s="25">
        <f>SUM(D116:T116)</f>
        <v/>
      </c>
      <c r="V116" s="24" t="n"/>
      <c r="W116" s="24" t="n"/>
      <c r="X116" s="24" t="n"/>
      <c r="Y116" s="25" t="n"/>
      <c r="Z116" s="25" t="n"/>
      <c r="AA116" s="24" t="n"/>
      <c r="AB116" s="24" t="n"/>
      <c r="AC116" s="24" t="n"/>
      <c r="AD116" s="24" t="n"/>
      <c r="AE116" s="24" t="n"/>
      <c r="AF116" s="24" t="n"/>
      <c r="AG116" s="24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</row>
    <row r="117" ht="12.75" customHeight="1" s="110">
      <c r="B117" s="24" t="n"/>
      <c r="C117" s="24" t="n"/>
      <c r="D117" s="24">
        <f>IF(H48=1,1,IF(H48=2,0,0))</f>
        <v/>
      </c>
      <c r="E117" s="24">
        <f>IF(H54=1,1,IF(H54=2,0,0))</f>
        <v/>
      </c>
      <c r="F117" s="24">
        <f>IF(J8=1,0,IF(J8=2,1,0))</f>
        <v/>
      </c>
      <c r="G117" s="24">
        <f>IF(J12=1,1,IF(J12=2,0,0))</f>
        <v/>
      </c>
      <c r="H117" s="24">
        <f>IF(J16=1,0,IF(J16=2,1,0))</f>
        <v/>
      </c>
      <c r="I117" s="24">
        <f>IF(J34=1,0,IF(J34=2,1,0))</f>
        <v/>
      </c>
      <c r="J117" s="24">
        <f>IF(J36=1,0,IF(J36=2,1,0))</f>
        <v/>
      </c>
      <c r="K117" s="24">
        <f>IF(J42=1,1,IF(J42=2,0,0))</f>
        <v/>
      </c>
      <c r="L117" s="24">
        <f>IF(J58=1,0,IF(J58=2,1,0))</f>
        <v/>
      </c>
      <c r="M117" s="24">
        <f>IF(J64=1,0,IF(J64=2,1,0))</f>
        <v/>
      </c>
      <c r="N117" s="24">
        <f>IF(L10=1,1,IF(L10=2,0,0))</f>
        <v/>
      </c>
      <c r="O117" s="24">
        <f>IF(L18=1,1,IF(L18=2,0,0))</f>
        <v/>
      </c>
      <c r="P117" s="24">
        <f>IF(L22=1,0,IF(L22=2,1,0))</f>
        <v/>
      </c>
      <c r="Q117" s="24">
        <f>IF(L29=1,0,IF(L29=2,1,0))</f>
        <v/>
      </c>
      <c r="R117" s="24">
        <f>IF(L32=1,1,IF(L32=2,0,0))</f>
        <v/>
      </c>
      <c r="S117" s="24">
        <f>IF(L34=1,0,IF(L34=2,1,0))</f>
        <v/>
      </c>
      <c r="T117" s="24">
        <f>IF(L42=1,1,IF(L42=2,0,0))</f>
        <v/>
      </c>
      <c r="U117" s="25">
        <f>SUM(D117:T117)</f>
        <v/>
      </c>
      <c r="V117" s="24" t="n"/>
      <c r="W117" s="24" t="n"/>
      <c r="X117" s="24" t="n"/>
      <c r="Y117" s="25" t="n"/>
      <c r="Z117" s="25" t="n"/>
      <c r="AA117" s="24" t="n"/>
      <c r="AB117" s="24" t="n"/>
      <c r="AC117" s="24" t="n"/>
      <c r="AD117" s="24" t="n"/>
      <c r="AE117" s="24" t="n"/>
      <c r="AF117" s="24" t="n"/>
      <c r="AG117" s="24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</row>
    <row r="118" ht="12.75" customHeight="1" s="110">
      <c r="B118" s="24" t="n"/>
      <c r="C118" s="24" t="n"/>
      <c r="D118" s="24">
        <f>IF(L47=1,0,IF(L47=2,1,0))</f>
        <v/>
      </c>
      <c r="E118" s="24">
        <f>IF(L51=1,1,IF(L51=2,0,0))</f>
        <v/>
      </c>
      <c r="F118" s="24">
        <f>IF(L56=1,1,IF(L56=2,0,0))</f>
        <v/>
      </c>
      <c r="G118" s="24">
        <f>IF(L63=1,1,IF(L63=2,0,0))</f>
        <v/>
      </c>
      <c r="H118" s="24">
        <f>IF(N9=1,1,IF(N9=2,0,0))</f>
        <v/>
      </c>
      <c r="I118" s="24">
        <f>IF(N15=1,1,IF(N15=2,0,0))</f>
        <v/>
      </c>
      <c r="J118" s="24">
        <f>IF(N28=1,0,IF(N28=2,1,0))</f>
        <v/>
      </c>
      <c r="K118" s="24">
        <f>IF(N33=1,1,IF(N33=2,0,0))</f>
        <v/>
      </c>
      <c r="L118" s="24">
        <f>IF(N35=1,0,IF(N35=2,1,0))</f>
        <v/>
      </c>
      <c r="M118" s="24">
        <f>IF(N42=1,0,IF(N42=2,1,0))</f>
        <v/>
      </c>
      <c r="N118" s="24">
        <f>IF(N44=1,1,IF(N44=2,0,0))</f>
        <v/>
      </c>
      <c r="O118" s="24">
        <f>IF(N45=1,1,IF(N45=2,0,0))</f>
        <v/>
      </c>
      <c r="P118" s="24">
        <f>IF(N47=1,0,IF(N47=2,1,0))</f>
        <v/>
      </c>
      <c r="Q118" s="24">
        <f>IF(N49=1,0,IF(N49=2,1,0))</f>
        <v/>
      </c>
      <c r="R118" s="24">
        <f>IF(N51=1,0,IF(N51=2,1,0))</f>
        <v/>
      </c>
      <c r="S118" s="24">
        <f>IF(N52=1,0,IF(N52=2,1,0))</f>
        <v/>
      </c>
      <c r="T118" s="24">
        <f>IF(N54=1,1,IF(N54=2,0,0))</f>
        <v/>
      </c>
      <c r="U118" s="25">
        <f>SUM(D118:T118)</f>
        <v/>
      </c>
      <c r="V118" s="24" t="n"/>
      <c r="W118" s="24" t="n"/>
      <c r="X118" s="24" t="n"/>
      <c r="Y118" s="25" t="n"/>
      <c r="Z118" s="25" t="n"/>
      <c r="AA118" s="24" t="n"/>
      <c r="AB118" s="24" t="n"/>
      <c r="AC118" s="24" t="n"/>
      <c r="AD118" s="24" t="n"/>
      <c r="AE118" s="24" t="n"/>
      <c r="AF118" s="24" t="n"/>
      <c r="AG118" s="24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</row>
    <row r="119" ht="12.75" customHeight="1" s="110">
      <c r="B119" s="24" t="n"/>
      <c r="C119" s="24" t="n"/>
      <c r="D119" s="24">
        <f>IF(N55=1,1,IF(N55=2,0,0))</f>
        <v/>
      </c>
      <c r="E119" s="24">
        <f>IF(N57=1,0,IF(N57=2,1,0))</f>
        <v/>
      </c>
      <c r="F119" s="24">
        <f>IF(N58=1,1,IF(N58=2,0,0))</f>
        <v/>
      </c>
      <c r="G119" s="24">
        <f>IF(N59=1,1,IF(N59=2,0,0))</f>
        <v/>
      </c>
      <c r="H119" s="24">
        <f>IF(N60=1,0,IF(N60=2,1,0))</f>
        <v/>
      </c>
      <c r="I119" s="24">
        <f>IF(N61=1,0,IF(N61=2,1,0))</f>
        <v/>
      </c>
      <c r="J119" s="24">
        <f>IF(N64=1,1,IF(N64=2,0,0))</f>
        <v/>
      </c>
      <c r="K119" s="24">
        <f>IF(N65=1,0,IF(N65=2,1,0))</f>
        <v/>
      </c>
      <c r="L119" s="24">
        <f>IF(N66=1,0,IF(N66=2,1,0))</f>
        <v/>
      </c>
      <c r="M119" s="24">
        <f>IF(N67=1,0,IF(N67=2,1,0))</f>
        <v/>
      </c>
      <c r="N119" s="24">
        <f>IF(P9=1,0,IF(P9=2,1,0))</f>
        <v/>
      </c>
      <c r="O119" s="24">
        <f>IF(P10=1,0,IF(P10=2,1,0))</f>
        <v/>
      </c>
      <c r="P119" s="24">
        <f>IF(P11=1,1,IF(P11=2,0,0))</f>
        <v/>
      </c>
      <c r="Q119" s="24">
        <f>IF(P13=1,0,IF(P13=2,1,0))</f>
        <v/>
      </c>
      <c r="R119" s="24">
        <f>IF(P14=1,1,IF(P14=2,0,0))</f>
        <v/>
      </c>
      <c r="S119" s="24">
        <f>IF(P15=1,1,IF(P15=2,0,0))</f>
        <v/>
      </c>
      <c r="T119" s="24">
        <f>IF(P16=1,1,IF(P16=2,0,0))</f>
        <v/>
      </c>
      <c r="U119" s="25">
        <f>SUM(D119:T119)</f>
        <v/>
      </c>
      <c r="V119" s="24" t="n"/>
      <c r="W119" s="24" t="n"/>
      <c r="X119" s="24" t="n"/>
      <c r="Y119" s="25" t="n"/>
      <c r="Z119" s="25" t="n"/>
      <c r="AA119" s="24" t="n"/>
      <c r="AB119" s="24" t="n"/>
      <c r="AC119" s="24" t="n"/>
      <c r="AD119" s="24" t="n"/>
      <c r="AE119" s="24" t="n"/>
      <c r="AF119" s="24" t="n"/>
      <c r="AG119" s="24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</row>
    <row r="120" ht="12.75" customHeight="1" s="110">
      <c r="B120" s="24" t="n"/>
      <c r="C120" s="24" t="n"/>
      <c r="D120" s="24">
        <f>IF(P17=1,0,IF(P17=2,1,0))</f>
        <v/>
      </c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5">
        <f>SUM(D120:T120)</f>
        <v/>
      </c>
      <c r="V120" s="24">
        <f>SUM(U116:U120)</f>
        <v/>
      </c>
      <c r="W120" s="24" t="n"/>
      <c r="X120" s="24" t="n"/>
      <c r="Y120" s="25">
        <f>SUM(V120)</f>
        <v/>
      </c>
      <c r="Z120" s="25">
        <f>IF(O167=999,"Escala por debajo de la P.T. mínima",O167)</f>
        <v/>
      </c>
      <c r="AA120" s="24" t="n"/>
      <c r="AB120" s="24" t="n"/>
      <c r="AC120" s="24" t="n"/>
      <c r="AD120" s="24" t="n"/>
      <c r="AE120" s="24" t="n"/>
      <c r="AF120" s="24" t="n"/>
      <c r="AG120" s="24" t="n"/>
      <c r="AH120" s="7" t="n"/>
      <c r="AI120" s="7" t="n"/>
      <c r="AJ120" s="7" t="n"/>
      <c r="AK120" s="7" t="n"/>
      <c r="AL120" s="7" t="n"/>
      <c r="AM120" s="7" t="n"/>
      <c r="AN120" s="7" t="n"/>
      <c r="AO120" s="7" t="n"/>
      <c r="AP120" s="7" t="n"/>
      <c r="AQ120" s="7" t="n"/>
      <c r="AR120" s="7" t="n"/>
      <c r="AS120" s="7" t="n"/>
      <c r="AT120" s="7" t="n"/>
    </row>
    <row r="121" ht="12.75" customHeight="1" s="110">
      <c r="B121" s="24" t="n"/>
      <c r="C121" s="25" t="inlineStr">
        <is>
          <t>Escalas de contenido</t>
        </is>
      </c>
      <c r="D121" s="25" t="n"/>
      <c r="E121" s="25" t="n"/>
      <c r="F121" s="25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5" t="n"/>
      <c r="V121" s="24" t="n"/>
      <c r="W121" s="24" t="n"/>
      <c r="X121" s="24" t="n"/>
      <c r="Y121" s="25" t="n"/>
      <c r="Z121" s="25" t="n"/>
      <c r="AA121" s="24" t="n"/>
      <c r="AB121" s="24" t="n"/>
      <c r="AC121" s="24" t="n"/>
      <c r="AD121" s="24" t="n"/>
      <c r="AE121" s="24" t="n"/>
      <c r="AF121" s="24" t="n"/>
      <c r="AG121" s="24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</row>
    <row r="122" ht="12.75" customHeight="1" s="110">
      <c r="B122" s="24" t="n"/>
      <c r="C122" s="24" t="inlineStr">
        <is>
          <t>Anx</t>
        </is>
      </c>
      <c r="D122" s="24">
        <f>IF(D22=1,1,IF(D22=2,0,0))</f>
        <v/>
      </c>
      <c r="E122" s="24">
        <f>IF(D37=1,1,IF(D37=2,0,0))</f>
        <v/>
      </c>
      <c r="F122" s="24">
        <f>IF(D38=1,1,IF(D38=2,0,0))</f>
        <v/>
      </c>
      <c r="G122" s="24">
        <f>IF(D46=1,1,IF(D46=2,0,0))</f>
        <v/>
      </c>
      <c r="H122" s="24">
        <f>IF(H27=1,0,IF(H27=2,1,0))</f>
        <v/>
      </c>
      <c r="I122" s="24">
        <f>IF(H57=1,1,IF(H57=2,0,0))</f>
        <v/>
      </c>
      <c r="J122" s="24">
        <f>IF(J23=1,1,IF(J23=2,0,0))</f>
        <v/>
      </c>
      <c r="K122" s="24">
        <f>IF(J35=1,0,IF(J35=2,1,0))</f>
        <v/>
      </c>
      <c r="L122" s="24">
        <f>IF(J50=1,0,IF(J50=2,1,0))</f>
        <v/>
      </c>
      <c r="M122" s="24">
        <f>IF(L40=1,1,IF(L40=2,0,0))</f>
        <v/>
      </c>
      <c r="N122" s="24">
        <f>IF(L57=1,1,IF(L57=2,0,0))</f>
        <v/>
      </c>
      <c r="O122" s="24">
        <f>IF(L65=1,1,IF(L65=2,0,0))</f>
        <v/>
      </c>
      <c r="P122" s="24">
        <f>IF(N8=1,1,IF(N8=2,0,0))</f>
        <v/>
      </c>
      <c r="Q122" s="24">
        <f>IF(N12=1,1,IF(N12=2,0,0))</f>
        <v/>
      </c>
      <c r="R122" s="24">
        <f>IF(N46=1,1,IF(N46=2,0,0))</f>
        <v/>
      </c>
      <c r="S122" s="24">
        <f>IF(P52=1,0,IF(P52=2,1,0))</f>
        <v/>
      </c>
      <c r="T122" s="24">
        <f>IF(P55=1,1,IF(P55=2,0,0))</f>
        <v/>
      </c>
      <c r="U122" s="25">
        <f>SUM(D122:T122)</f>
        <v/>
      </c>
      <c r="V122" s="24" t="n"/>
      <c r="W122" s="24" t="n"/>
      <c r="X122" s="24" t="n"/>
      <c r="Y122" s="25" t="n"/>
      <c r="Z122" s="25" t="n"/>
      <c r="AA122" s="24" t="n"/>
      <c r="AB122" s="24" t="n"/>
      <c r="AC122" s="24" t="n"/>
      <c r="AD122" s="24" t="n"/>
      <c r="AE122" s="24" t="n"/>
      <c r="AF122" s="24" t="n"/>
      <c r="AG122" s="24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</row>
    <row r="123" ht="12.75" customHeight="1" s="110">
      <c r="B123" s="24" t="n"/>
      <c r="C123" s="24" t="n"/>
      <c r="D123" s="24">
        <f>IF(P62=1,1,IF(P62=2,0,0))</f>
        <v/>
      </c>
      <c r="E123" s="24">
        <f>IF(R50=1,1,IF(R50=2,0,0))</f>
        <v/>
      </c>
      <c r="F123" s="24">
        <f>IF(R56=1,1,IF(R56=2,0,0))</f>
        <v/>
      </c>
      <c r="G123" s="24">
        <f>IF(T23=1,0,IF(T23=2,1,0))</f>
        <v/>
      </c>
      <c r="H123" s="24">
        <f>IF(T36=1,1,IF(T36=2,0,0))</f>
        <v/>
      </c>
      <c r="I123" s="24">
        <f>IF(V23=1,1,IF(V23=2,0,0))</f>
        <v/>
      </c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5">
        <f>SUM(D123:T123)</f>
        <v/>
      </c>
      <c r="V123" s="24">
        <f>SUM(U122:U123)</f>
        <v/>
      </c>
      <c r="W123" s="24" t="n"/>
      <c r="X123" s="24" t="n"/>
      <c r="Y123" s="25">
        <f>SUM(V123)</f>
        <v/>
      </c>
      <c r="Z123" s="25">
        <f>IF(D170&lt;&gt;0,D170,IF(E170&lt;&gt;0,E170,IF(F170&lt;&gt;0,F170,IF(G170&lt;&gt;0,G170,IF(H170&lt;&gt;0,H170,IF(I170&lt;&gt;0,I170,0))))))</f>
        <v/>
      </c>
      <c r="AA123" s="24" t="n"/>
      <c r="AB123" s="24" t="n"/>
      <c r="AC123" s="24" t="n"/>
      <c r="AD123" s="24" t="n"/>
      <c r="AE123" s="24" t="n"/>
      <c r="AF123" s="24" t="n"/>
      <c r="AG123" s="24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</row>
    <row r="124" ht="12.75" customHeight="1" s="110">
      <c r="B124" s="24" t="n"/>
      <c r="C124" s="24" t="inlineStr">
        <is>
          <t>Frs</t>
        </is>
      </c>
      <c r="D124" s="24">
        <f>IF(F62=1,0,IF(F62=2,1,0))</f>
        <v/>
      </c>
      <c r="E124" s="24">
        <f>IF(H41=1,1,IF(H41=2,0,0))</f>
        <v/>
      </c>
      <c r="F124" s="24">
        <f>IF(H50=1,0,IF(H50=2,1,0))</f>
        <v/>
      </c>
      <c r="G124" s="24">
        <f>IF(J13=1,0,IF(J13=2,1,0))</f>
        <v/>
      </c>
      <c r="H124" s="24">
        <f>IF(N24=1,1,IF(N24=2,0,0))</f>
        <v/>
      </c>
      <c r="I124" s="24">
        <f>IF(N29=1,1,IF(N29=2,0,0))</f>
        <v/>
      </c>
      <c r="J124" s="24">
        <f>IF(N36=1,1,IF(N36=2,0,0))</f>
        <v/>
      </c>
      <c r="K124" s="24">
        <f>IF(N41=1,1,IF(N41=2,0,0))</f>
        <v/>
      </c>
      <c r="L124" s="24">
        <f>IF(P32=1,0,IF(P32=2,1,0))</f>
        <v/>
      </c>
      <c r="M124" s="24">
        <f>IF(P39=1,1,IF(P39=2,0,0))</f>
        <v/>
      </c>
      <c r="N124" s="24">
        <f>IF(P42=1,1,IF(P42=2,0,0))</f>
        <v/>
      </c>
      <c r="O124" s="24">
        <f>IF(P44=1,1,IF(P44=2,0,0))</f>
        <v/>
      </c>
      <c r="P124" s="24">
        <f>IF(P48=1,0,IF(P48=2,1,0))</f>
        <v/>
      </c>
      <c r="Q124" s="24">
        <f>IF(R22=1,1,IF(R22=2,0,0))</f>
        <v/>
      </c>
      <c r="R124" s="24">
        <f>IF(R25=1,1,IF(R25=2,0,0))</f>
        <v/>
      </c>
      <c r="S124" s="24">
        <f>IF(R28=1,1,IF(R28=2,0,0))</f>
        <v/>
      </c>
      <c r="T124" s="24">
        <f>IF(R34=1,1,IF(R34=2,0,0))</f>
        <v/>
      </c>
      <c r="U124" s="25">
        <f>SUM(D124:T124)</f>
        <v/>
      </c>
      <c r="V124" s="24" t="n"/>
      <c r="W124" s="24" t="n"/>
      <c r="X124" s="24" t="n"/>
      <c r="Y124" s="25" t="n"/>
      <c r="Z124" s="25" t="n"/>
      <c r="AA124" s="24" t="n"/>
      <c r="AB124" s="24" t="n"/>
      <c r="AC124" s="24" t="n"/>
      <c r="AD124" s="24" t="n"/>
      <c r="AE124" s="24" t="n"/>
      <c r="AF124" s="24" t="n"/>
      <c r="AG124" s="24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</row>
    <row r="125" ht="12.75" customHeight="1" s="110">
      <c r="B125" s="24" t="n"/>
      <c r="C125" s="24" t="n"/>
      <c r="D125" s="24">
        <f>IF(R40=1,0,IF(R40=2,1,0))</f>
        <v/>
      </c>
      <c r="E125" s="24">
        <f>IF(R45=1,1,IF(R45=2,0,0))</f>
        <v/>
      </c>
      <c r="F125" s="24">
        <f>IF(R49=1,0,IF(R49=2,1,0))</f>
        <v/>
      </c>
      <c r="G125" s="24">
        <f>IF(R55=1,1,IF(R55=2,0,0))</f>
        <v/>
      </c>
      <c r="H125" s="24">
        <f>IF(R58=1,1,IF(R58=2,0,0))</f>
        <v/>
      </c>
      <c r="I125" s="24">
        <f>IF(V22=1,1,IF(V22=2,0,0))</f>
        <v/>
      </c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5">
        <f>SUM(D125:T125)</f>
        <v/>
      </c>
      <c r="V125" s="24">
        <f>SUM(U124:U125)</f>
        <v/>
      </c>
      <c r="W125" s="24" t="n"/>
      <c r="X125" s="24" t="n"/>
      <c r="Y125" s="25">
        <f>SUM(V125)</f>
        <v/>
      </c>
      <c r="Z125" s="25">
        <f>IF(D171&lt;&gt;0,D171,IF(E171&lt;&gt;0,E171,IF(F171&lt;&gt;0,F171,IF(G171&lt;&gt;0,G171,IF(H171&lt;&gt;0,H171,IF(I171&lt;&gt;0,I171,0))))))</f>
        <v/>
      </c>
      <c r="AA125" s="24" t="n"/>
      <c r="AB125" s="24" t="n"/>
      <c r="AC125" s="24" t="n"/>
      <c r="AD125" s="24" t="n"/>
      <c r="AE125" s="24" t="n"/>
      <c r="AF125" s="24" t="n"/>
      <c r="AG125" s="24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</row>
    <row r="126" ht="12.75" customHeight="1" s="110">
      <c r="B126" s="24" t="n"/>
      <c r="C126" s="24" t="inlineStr">
        <is>
          <t>Obs</t>
        </is>
      </c>
      <c r="D126" s="24">
        <f>IF(D62=1,1,IF(D62=2,0,0))</f>
        <v/>
      </c>
      <c r="E126" s="24">
        <f>IF(F34=1,1,IF(F34=2,0,0))</f>
        <v/>
      </c>
      <c r="F126" s="24">
        <f>IF(H22=1,1,IF(H22=2,0,0))</f>
        <v/>
      </c>
      <c r="G126" s="24">
        <f>IF(J23=1,1,IF(J23=2,0,0))</f>
        <v/>
      </c>
      <c r="H126" s="24">
        <f>IF(N16=1,1,IF(N16=2,0,0))</f>
        <v/>
      </c>
      <c r="I126" s="24">
        <f>IF(N20=1,1,IF(N20=2,0,0))</f>
        <v/>
      </c>
      <c r="J126" s="24">
        <f>IF(N34=1,1,IF(N34=2,0,0))</f>
        <v/>
      </c>
      <c r="K126" s="24">
        <f>IF(N35=1,1,IF(N35=2,0,0))</f>
        <v/>
      </c>
      <c r="L126" s="24">
        <f>IF(P41=1,1,IF(P41=2,0,0))</f>
        <v/>
      </c>
      <c r="M126" s="24">
        <f>IF(R29=1,1,IF(R29=2,0,0))</f>
        <v/>
      </c>
      <c r="N126" s="24">
        <f>IF(T9=1,1,IF(T9=2,0,0))</f>
        <v/>
      </c>
      <c r="O126" s="24">
        <f>IF(T18=1,1,IF(T18=2,0,0))</f>
        <v/>
      </c>
      <c r="P126" s="24">
        <f>IF(T24=1,1,IF(T24=2,0,0))</f>
        <v/>
      </c>
      <c r="Q126" s="24">
        <f>IF(T36=1,1,IF(T36=2,0,0))</f>
        <v/>
      </c>
      <c r="R126" s="24">
        <f>IF(V14=1,1,IF(V14=2,0,0))</f>
        <v/>
      </c>
      <c r="S126" s="24">
        <f>IF(V20=1,1,IF(V20=2,0,0))</f>
        <v/>
      </c>
      <c r="T126" s="24" t="n"/>
      <c r="U126" s="25">
        <f>SUM(D126:T126)</f>
        <v/>
      </c>
      <c r="V126" s="24">
        <f>SUM(U126)</f>
        <v/>
      </c>
      <c r="W126" s="24" t="n"/>
      <c r="X126" s="24" t="n"/>
      <c r="Y126" s="25">
        <f>SUM(V126)</f>
        <v/>
      </c>
      <c r="Z126" s="25">
        <f>IF(D172&lt;&gt;0,D172,IF(E172&lt;&gt;0,E172,IF(F172&lt;&gt;0,F172,IF(G172&lt;&gt;0,G172,IF(H172&lt;&gt;0,H172,IF(I172&lt;&gt;0,I172,0))))))</f>
        <v/>
      </c>
      <c r="AA126" s="24" t="n"/>
      <c r="AB126" s="24" t="n"/>
      <c r="AC126" s="24" t="n"/>
      <c r="AD126" s="24" t="n"/>
      <c r="AE126" s="24" t="n"/>
      <c r="AF126" s="24" t="n"/>
      <c r="AG126" s="24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</row>
    <row r="127" ht="12.75" customHeight="1" s="110">
      <c r="B127" s="24" t="n"/>
      <c r="C127" s="24" t="inlineStr">
        <is>
          <t>Dep</t>
        </is>
      </c>
      <c r="D127" s="24">
        <f>IF(D10=1,0,IF(D10=2,1,0))</f>
        <v/>
      </c>
      <c r="E127" s="24">
        <f>IF(D16=1,0,IF(D16=2,1,0))</f>
        <v/>
      </c>
      <c r="F127" s="24">
        <f>IF(D45=1,1,IF(D45=2,0,0))</f>
        <v/>
      </c>
      <c r="G127" s="24">
        <f>IF(D59=1,1,IF(D59=2,0,0))</f>
        <v/>
      </c>
      <c r="H127" s="24">
        <f>IF(F12=1,1,IF(F12=2,0,0))</f>
        <v/>
      </c>
      <c r="I127" s="24">
        <f>IF(F18=1,1,IF(F18=2,0,0))</f>
        <v/>
      </c>
      <c r="J127" s="24">
        <f>IF(F22=1,0,IF(F22=2,1,0))</f>
        <v/>
      </c>
      <c r="K127" s="24">
        <f>IF(F29=1,1,IF(F29=2,0,0))</f>
        <v/>
      </c>
      <c r="L127" s="24">
        <f>IF(F39=1,1,IF(F39=2,0,0))</f>
        <v/>
      </c>
      <c r="M127" s="24">
        <f>IF(F42=1,0,IF(F42=2,1,0))</f>
        <v/>
      </c>
      <c r="N127" s="24">
        <f>IF(H17=1,1,IF(H17=2,0,0))</f>
        <v/>
      </c>
      <c r="O127" s="24">
        <f>IF(H33=1,1,IF(H33=2,0,0))</f>
        <v/>
      </c>
      <c r="P127" s="24">
        <f>IF(J42=1,1,IF(J42=2,0,0))</f>
        <v/>
      </c>
      <c r="Q127" s="24">
        <f>IF(J61=1,1,IF(J61=2,0,0))</f>
        <v/>
      </c>
      <c r="R127" s="24">
        <f>IF(L13=1,1,IF(L13=2,0,0))</f>
        <v/>
      </c>
      <c r="S127" s="24">
        <f>IF(L44=1,1,IF(L44=2,0,0))</f>
        <v/>
      </c>
      <c r="T127" s="24">
        <f>IF(N10=1,1,IF(N10=2,0,0))</f>
        <v/>
      </c>
      <c r="U127" s="25">
        <f>SUM(D127:T127)</f>
        <v/>
      </c>
      <c r="V127" s="24" t="n"/>
      <c r="W127" s="24" t="n"/>
      <c r="X127" s="24" t="n"/>
      <c r="Y127" s="25" t="n"/>
      <c r="Z127" s="25" t="n"/>
      <c r="AA127" s="24" t="n"/>
      <c r="AB127" s="24" t="n"/>
      <c r="AC127" s="24" t="n"/>
      <c r="AD127" s="24" t="n"/>
      <c r="AE127" s="24" t="n"/>
      <c r="AF127" s="24" t="n"/>
      <c r="AG127" s="24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</row>
    <row r="128" ht="12.75" customHeight="1" s="110">
      <c r="B128" s="24" t="n"/>
      <c r="C128" s="24" t="n"/>
      <c r="D128" s="24">
        <f>IF(N13=1,1,IF(N13=2,0,0))</f>
        <v/>
      </c>
      <c r="E128" s="24">
        <f>IF(N38=1,1,IF(N38=2,0,0))</f>
        <v/>
      </c>
      <c r="F128" s="24">
        <f>IF(P24=1,1,IF(P24=2,0,0))</f>
        <v/>
      </c>
      <c r="G128" s="24">
        <f>IF(P35=1,0,IF(P35=2,1,0))</f>
        <v/>
      </c>
      <c r="H128" s="24">
        <f>IF(P46=1,1,IF(P46=2,0,0))</f>
        <v/>
      </c>
      <c r="I128" s="24">
        <f>IF(P47=1,1,IF(P47=2,0,0))</f>
        <v/>
      </c>
      <c r="J128" s="24">
        <f>IF(P58=1,1,IF(P58=2,0,0))</f>
        <v/>
      </c>
      <c r="K128" s="24">
        <f>IF(R41=1,1,IF(R41=2,0,0))</f>
        <v/>
      </c>
      <c r="L128" s="24">
        <f>IF(T33=1,1,IF(T33=2,0,0))</f>
        <v/>
      </c>
      <c r="M128" s="24">
        <f>IF(T39=1,1,IF(T39=2,0,0))</f>
        <v/>
      </c>
      <c r="N128" s="24">
        <f>IF(T43=1,1,IF(T43=2,0,0))</f>
        <v/>
      </c>
      <c r="O128" s="24">
        <f>IF(T47=1,1,IF(T47=2,0,0))</f>
        <v/>
      </c>
      <c r="P128" s="24">
        <f>IF(T66=1,1,IF(T66=2,0,0))</f>
        <v/>
      </c>
      <c r="Q128" s="24">
        <f>IF(V13=1,1,IF(V13=2,0,0))</f>
        <v/>
      </c>
      <c r="R128" s="24">
        <f>IF(V21=1,1,IF(V21=2,0,0))</f>
        <v/>
      </c>
      <c r="S128" s="24">
        <f>IF(D63=1,1,IF(D63=2,0,0))</f>
        <v/>
      </c>
      <c r="T128" s="24" t="n"/>
      <c r="U128" s="25">
        <f>SUM(D128:T128)</f>
        <v/>
      </c>
      <c r="V128" s="24">
        <f>SUM(U127:U128)</f>
        <v/>
      </c>
      <c r="W128" s="24" t="n"/>
      <c r="X128" s="24" t="n"/>
      <c r="Y128" s="25">
        <f>SUM(V128)</f>
        <v/>
      </c>
      <c r="Z128" s="25">
        <f>IF(D173&lt;&gt;0,D173,IF(E173&lt;&gt;0,E173,IF(F173&lt;&gt;0,F173,IF(G173&lt;&gt;0,G173,IF(H173&lt;&gt;0,H173,IF(I173&lt;&gt;0,I173,0))))))</f>
        <v/>
      </c>
      <c r="AA128" s="24" t="n"/>
      <c r="AB128" s="24" t="n"/>
      <c r="AC128" s="24" t="n"/>
      <c r="AD128" s="24" t="n"/>
      <c r="AE128" s="24" t="n"/>
      <c r="AF128" s="24" t="n"/>
      <c r="AG128" s="24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</row>
    <row r="129" ht="12.75" customHeight="1" s="110">
      <c r="B129" s="24" t="n"/>
      <c r="C129" s="24" t="inlineStr">
        <is>
          <t>Hea</t>
        </is>
      </c>
      <c r="D129" s="24">
        <f>IF(D18=1,1,IF(D18=2,0,0))</f>
        <v/>
      </c>
      <c r="E129" s="24">
        <f>IF(D25=1,1,IF(D25=2,0,0))</f>
        <v/>
      </c>
      <c r="F129" s="24">
        <f>IF(D27=1,0,IF(D27=2,1,0))</f>
        <v/>
      </c>
      <c r="G129" s="24">
        <f>IF(D35=1,1,IF(D35=2,0,0))</f>
        <v/>
      </c>
      <c r="H129" s="24">
        <f>IF(D40=1,0,IF(D40=2,1,0))</f>
        <v/>
      </c>
      <c r="I129" s="24">
        <f>IF(D43=1,1,IF(D43=2,0,0))</f>
        <v/>
      </c>
      <c r="J129" s="24">
        <f>IF(D47=1,1,IF(D47=2,0,0))</f>
        <v/>
      </c>
      <c r="K129" s="24">
        <f>IF(D51=1,1,IF(D51=2,0,0))</f>
        <v/>
      </c>
      <c r="L129" s="24">
        <f>IF(D52=1,0,IF(D52=2,1,0))</f>
        <v/>
      </c>
      <c r="M129" s="24">
        <f>IF(D54=1,0,IF(D54=2,1,0))</f>
        <v/>
      </c>
      <c r="N129" s="24">
        <f>IF(D60=1,1,IF(D60=2,0,0))</f>
        <v/>
      </c>
      <c r="O129" s="24">
        <f>IF(D64=1,0,IF(D64=2,1,0))</f>
        <v/>
      </c>
      <c r="P129" s="24">
        <f>IF(D66=1,1,IF(D66=2,0,0))</f>
        <v/>
      </c>
      <c r="Q129" s="24">
        <f>IF(F38=1,0,IF(F38=2,1,0))</f>
        <v/>
      </c>
      <c r="R129" s="24">
        <f>IF(F44=1,1,IF(F44=2,0,0))</f>
        <v/>
      </c>
      <c r="S129" s="24">
        <f>IF(F48=1,1,IF(F48=2,0,0))</f>
        <v/>
      </c>
      <c r="T129" s="24">
        <f>IF(F58=1,1,IF(F58=2,0,0))</f>
        <v/>
      </c>
      <c r="U129" s="25">
        <f>SUM(D129:T129)</f>
        <v/>
      </c>
      <c r="V129" s="24" t="n"/>
      <c r="W129" s="24" t="n"/>
      <c r="X129" s="24" t="n"/>
      <c r="Y129" s="25" t="n"/>
      <c r="Z129" s="25" t="n"/>
      <c r="AA129" s="24" t="n"/>
      <c r="AB129" s="24" t="n"/>
      <c r="AC129" s="24" t="n"/>
      <c r="AD129" s="24" t="n"/>
      <c r="AE129" s="24" t="n"/>
      <c r="AF129" s="24" t="n"/>
      <c r="AG129" s="24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</row>
    <row r="130" ht="12.75" customHeight="1" s="110">
      <c r="B130" s="24" t="n"/>
      <c r="C130" s="24" t="n"/>
      <c r="D130" s="24">
        <f>IF(F64=1,0,IF(F64=2,1,0))</f>
        <v/>
      </c>
      <c r="E130" s="24">
        <f>IF(F65=1,0,IF(F65=2,1,0))</f>
        <v/>
      </c>
      <c r="F130" s="24">
        <f>IF(H28=1,0,IF(H28=2,1,0))</f>
        <v/>
      </c>
      <c r="G130" s="24">
        <f>IF(H29=1,0,IF(H29=2,1,0))</f>
        <v/>
      </c>
      <c r="H130" s="24">
        <f>IF(H36=1,1,IF(H36=2,0,0))</f>
        <v/>
      </c>
      <c r="I130" s="24">
        <f>IF(H46=1,0,IF(H46=2,1,0))</f>
        <v/>
      </c>
      <c r="J130" s="24">
        <f>IF(H51=1,0,IF(H51=2,1,0))</f>
        <v/>
      </c>
      <c r="K130" s="24">
        <f>IF(H62=1,1,IF(H62=2,0,0))</f>
        <v/>
      </c>
      <c r="L130" s="24">
        <f>IF(H63=1,0,IF(H63=2,1,0))</f>
        <v/>
      </c>
      <c r="M130" s="24">
        <f>IF(H66=1,0,IF(H66=2,1,0))</f>
        <v/>
      </c>
      <c r="N130" s="24">
        <f>IF(J8=1,0,IF(J8=2,1,0))</f>
        <v/>
      </c>
      <c r="O130" s="24">
        <f>IF(J21=1,0,IF(J21=2,1,0))</f>
        <v/>
      </c>
      <c r="P130" s="24">
        <f>IF(J31=1,0,IF(J31=2,1))</f>
        <v/>
      </c>
      <c r="Q130" s="24">
        <f>IF(J51=1,0,IF(J51=2,1,0))</f>
        <v/>
      </c>
      <c r="R130" s="24">
        <f>IF(L14=1,1,IF(L14=2,0,0))</f>
        <v/>
      </c>
      <c r="S130" s="24">
        <f>IF(L16=1,0,IF(L16=2,1,0))</f>
        <v/>
      </c>
      <c r="T130" s="24">
        <f>IF(L22=1,0,IF(L22=2,1,0))</f>
        <v/>
      </c>
      <c r="U130" s="25">
        <f>SUM(D130:T130)</f>
        <v/>
      </c>
      <c r="V130" s="24" t="n"/>
      <c r="W130" s="24" t="n"/>
      <c r="X130" s="24" t="n"/>
      <c r="Y130" s="25" t="n"/>
      <c r="Z130" s="25" t="n"/>
      <c r="AA130" s="24" t="n"/>
      <c r="AB130" s="24" t="n"/>
      <c r="AC130" s="24" t="n"/>
      <c r="AD130" s="24" t="n"/>
      <c r="AE130" s="24" t="n"/>
      <c r="AF130" s="24" t="n"/>
      <c r="AG130" s="24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</row>
    <row r="131" ht="12.75" customHeight="1" s="110">
      <c r="B131" s="24" t="n"/>
      <c r="C131" s="24" t="n"/>
      <c r="D131" s="24">
        <f>IF(L62=1,0,IF(L62=2,1,0))</f>
        <v/>
      </c>
      <c r="E131" s="24">
        <f>IF(P51=1,0,IF(P51=2,1,0))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5">
        <f>SUM(D131:T131)</f>
        <v/>
      </c>
      <c r="V131" s="24">
        <f>SUM(U129:U131)</f>
        <v/>
      </c>
      <c r="W131" s="24" t="n"/>
      <c r="X131" s="24" t="n"/>
      <c r="Y131" s="25">
        <f>SUM(V131)</f>
        <v/>
      </c>
      <c r="Z131" s="25">
        <f>IF(D174&lt;&gt;0,D174,IF(E174&lt;&gt;0,E174,IF(F174&lt;&gt;0,F174,IF(G174&lt;&gt;0,G174,IF(H174&lt;&gt;0,H174,IF(I174&lt;&gt;0,I174,0))))))</f>
        <v/>
      </c>
      <c r="AA131" s="24" t="n"/>
      <c r="AB131" s="24" t="n"/>
      <c r="AC131" s="24" t="n"/>
      <c r="AD131" s="24" t="n"/>
      <c r="AE131" s="24" t="n"/>
      <c r="AF131" s="24" t="n"/>
      <c r="AG131" s="24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</row>
    <row r="132" ht="12.75" customHeight="1" s="110">
      <c r="B132" s="24" t="n"/>
      <c r="C132" s="24" t="inlineStr">
        <is>
          <t>Biz</t>
        </is>
      </c>
      <c r="D132" s="24">
        <f>IF(D31=1,1,IF(D31=2,0,0))</f>
        <v/>
      </c>
      <c r="E132" s="24">
        <f>IF(D39=1,1,IF(D39=2,0,0))</f>
        <v/>
      </c>
      <c r="F132" s="24">
        <f>IF(D67=1,1,IF(D67=2,0,0))</f>
        <v/>
      </c>
      <c r="G132" s="24">
        <f>IF(F43=1,1,IF(F43=2,0,0))</f>
        <v/>
      </c>
      <c r="H132" s="24">
        <f>IF(H25=1,1,IF(H25=2,0,0))</f>
        <v/>
      </c>
      <c r="I132" s="24">
        <f>IF(H49=1,1,IF(H49=2,0,0))</f>
        <v/>
      </c>
      <c r="J132" s="24">
        <f>IF(J25=1,1,IF(J25=2,0,0))</f>
        <v/>
      </c>
      <c r="K132" s="24">
        <f>IF(J55=1,1,IF(J55=2,0,0))</f>
        <v/>
      </c>
      <c r="L132" s="24">
        <f>IF(L26=1,1,IF(L26=2,0,0))</f>
        <v/>
      </c>
      <c r="M132" s="24">
        <f>IF(L65=1,1,IF(L65=2,0,0))</f>
        <v/>
      </c>
      <c r="N132" s="24">
        <f>IF(N18=1,1,IF(N18=2,0,0))</f>
        <v/>
      </c>
      <c r="O132" s="24">
        <f>IF(N23=1,1,IF(N23=2,0,0))</f>
        <v/>
      </c>
      <c r="P132" s="24">
        <f>IF(N26=1,1,IF(N26=2,0,0))</f>
        <v/>
      </c>
      <c r="Q132" s="24">
        <f>IF(N40=1,1,IF(N40=2,0,0))</f>
        <v/>
      </c>
      <c r="R132" s="24">
        <f>IF(N43=1,1,IF(N43=2,0,0))</f>
        <v/>
      </c>
      <c r="S132" s="24">
        <f>IF(N62=1,1,IF(N62=2,0,0))</f>
        <v/>
      </c>
      <c r="T132" s="24">
        <f>IF(P8=1,1,IF(P8=2,0,0))</f>
        <v/>
      </c>
      <c r="U132" s="25">
        <f>SUM(D132:T132)</f>
        <v/>
      </c>
      <c r="V132" s="24" t="n"/>
      <c r="W132" s="24" t="n"/>
      <c r="X132" s="24" t="n"/>
      <c r="Y132" s="25" t="n"/>
      <c r="Z132" s="25" t="n"/>
      <c r="AA132" s="24" t="n"/>
      <c r="AB132" s="24" t="n"/>
      <c r="AC132" s="24" t="n"/>
      <c r="AD132" s="24" t="n"/>
      <c r="AE132" s="24" t="n"/>
      <c r="AF132" s="24" t="n"/>
      <c r="AG132" s="24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</row>
    <row r="133" ht="12.75" customHeight="1" s="110">
      <c r="B133" s="24" t="n"/>
      <c r="C133" s="24" t="n"/>
      <c r="D133" s="24">
        <f>IF(R14=1,0,IF(R14=2,1,0))</f>
        <v/>
      </c>
      <c r="E133" s="24">
        <f>IF(R53=1,1,IF(R53=2,0,0))</f>
        <v/>
      </c>
      <c r="F133" s="24">
        <f>IF(T17=1,1,IF(T17=2,0,0))</f>
        <v/>
      </c>
      <c r="G133" s="24">
        <f>IF(T35=1,1,IF(T35=2,0))</f>
        <v/>
      </c>
      <c r="H133" s="24">
        <f>IF(V10=1,1,IF(V10=2,0,0))</f>
        <v/>
      </c>
      <c r="I133" s="24">
        <f>IF(V18=1,1,IF(V18=2,0,0))</f>
        <v/>
      </c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5">
        <f>SUM(D133:T133)</f>
        <v/>
      </c>
      <c r="V133" s="24">
        <f>SUM(U132:U133)</f>
        <v/>
      </c>
      <c r="W133" s="24" t="n"/>
      <c r="X133" s="24" t="n"/>
      <c r="Y133" s="25">
        <f>SUM(V133)</f>
        <v/>
      </c>
      <c r="Z133" s="25">
        <f>IF(D175&lt;&gt;0,D175,IF(E175&lt;&gt;0,E175,IF(F175&lt;&gt;0,F175,IF(G175&lt;&gt;0,G175,IF(H175&lt;&gt;0,H175,IF(I175&lt;&gt;0,I175,0))))))</f>
        <v/>
      </c>
      <c r="AA133" s="24" t="n"/>
      <c r="AB133" s="24" t="n"/>
      <c r="AC133" s="24" t="n"/>
      <c r="AD133" s="24" t="n"/>
      <c r="AE133" s="24" t="n"/>
      <c r="AF133" s="24" t="n"/>
      <c r="AG133" s="24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</row>
    <row r="134" ht="12.75" customHeight="1" s="110">
      <c r="B134" s="24" t="n"/>
      <c r="C134" s="24" t="inlineStr">
        <is>
          <t>Ang</t>
        </is>
      </c>
      <c r="D134" s="24">
        <f>IF(D36=1,1,IF(D36=2,0,0))</f>
        <v/>
      </c>
      <c r="E134" s="24">
        <f>IF(D44=1,1,IF(D44=2,0,0))</f>
        <v/>
      </c>
      <c r="F134" s="24">
        <f>IF(F63=1,1,IF(F63=2,0,0))</f>
        <v/>
      </c>
      <c r="G134" s="24">
        <f>IF(H21=1,1,IF(H21=2,0,0))</f>
        <v/>
      </c>
      <c r="H134" s="24">
        <f>IF(N9=1,1,IF(N9=2,0,0))</f>
        <v/>
      </c>
      <c r="I134" s="24">
        <f>IF(P36=1,1,IF(P36=2,0,0))</f>
        <v/>
      </c>
      <c r="J134" s="24">
        <f>IF(P57=1,1,IF(P57=2,0,0))</f>
        <v/>
      </c>
      <c r="K134" s="24">
        <f>IF(P61=1,1,IF(P61=2,0,0))</f>
        <v/>
      </c>
      <c r="L134" s="24">
        <f>IF(R17=1,1,IF(R17=2,0,0))</f>
        <v/>
      </c>
      <c r="M134" s="24">
        <f>IF(R48=1,1,IF(R48=2,0,0))</f>
        <v/>
      </c>
      <c r="N134" s="24">
        <f>IF(T13=1,1,IF(T13=2,0,0))</f>
        <v/>
      </c>
      <c r="O134" s="24">
        <f>IF(T40=1,1,IF(T40=2,0,0))</f>
        <v/>
      </c>
      <c r="P134" s="24">
        <f>IF(T67=1,1,IF(T67=2,0,0))</f>
        <v/>
      </c>
      <c r="Q134" s="24">
        <f>IF(V9=1,1,IF(V9=2,0))</f>
        <v/>
      </c>
      <c r="R134" s="24">
        <f>IF(V15=1,1,IF(V15=2,0,0))</f>
        <v/>
      </c>
      <c r="S134" s="24">
        <f>IF(V31=1,0,IF(V31=2,1,0))</f>
        <v/>
      </c>
      <c r="T134" s="24" t="n"/>
      <c r="U134" s="25">
        <f>SUM(D134:T134)</f>
        <v/>
      </c>
      <c r="V134" s="24">
        <f>SUM(U134)</f>
        <v/>
      </c>
      <c r="W134" s="24" t="n"/>
      <c r="X134" s="24" t="n"/>
      <c r="Y134" s="25">
        <f>SUM(V134)</f>
        <v/>
      </c>
      <c r="Z134" s="25">
        <f>IF(D176&lt;&gt;0,D176,IF(E176&lt;&gt;0,E176,IF(F176&lt;&gt;0,F176,IF(G176&lt;&gt;0,G176,IF(H176&lt;&gt;0,H176,IF(I176&lt;&gt;0,I176,0))))))</f>
        <v/>
      </c>
      <c r="AA134" s="24" t="n"/>
      <c r="AB134" s="24" t="n"/>
      <c r="AC134" s="24" t="n"/>
      <c r="AD134" s="24" t="n"/>
      <c r="AE134" s="24" t="n"/>
      <c r="AF134" s="24" t="n"/>
      <c r="AG134" s="24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</row>
    <row r="135" ht="12.75" customHeight="1" s="110">
      <c r="B135" s="24" t="n"/>
      <c r="C135" s="24" t="inlineStr">
        <is>
          <t>Cyn</t>
        </is>
      </c>
      <c r="D135" s="24">
        <f>IF(D57=1,1,IF(D57=2,0,0))</f>
        <v/>
      </c>
      <c r="E135" s="24">
        <f>IF(D65=1,1,IF(D65=2,0,0))</f>
        <v/>
      </c>
      <c r="F135" s="24">
        <f>IF(F23=1,1,IF(F23=2,0,0))</f>
        <v/>
      </c>
      <c r="G135" s="24">
        <f>IF(F28=1,1,IF(F28=2,0,0))</f>
        <v/>
      </c>
      <c r="H135" s="24">
        <f>IF(F51=1,1,IF(F51=2,0,0))</f>
        <v/>
      </c>
      <c r="I135" s="24">
        <f>IF(F57=1,1,IF(F57=2,0,0))</f>
        <v/>
      </c>
      <c r="J135" s="24">
        <f>IF(H11=1,1,IF(H11=2,0,0))</f>
        <v/>
      </c>
      <c r="K135" s="24">
        <f>IF(J52=1,1,IF(J52=2,0,0))</f>
        <v/>
      </c>
      <c r="L135" s="24">
        <f>IF(L8=1,1,IF(L8=2,0,0))</f>
        <v/>
      </c>
      <c r="M135" s="24">
        <f>IF(L21=1,1,IF(L21=2,0,0))</f>
        <v/>
      </c>
      <c r="N135" s="24">
        <f>IF(L50=1,1,IF(L50=2,0,0))</f>
        <v/>
      </c>
      <c r="O135" s="24">
        <f>IF(L51=1,1,IF(L51=2,0,0))</f>
        <v/>
      </c>
      <c r="P135" s="24">
        <f>IF(L53=1,1,IF(L53=2,0,0))</f>
        <v/>
      </c>
      <c r="Q135" s="24">
        <f>IF(N22=1,1,IF(N22=2,0,0))</f>
        <v/>
      </c>
      <c r="R135" s="24">
        <f>IF(N53=1,1,IF(N53=2,0,0))</f>
        <v/>
      </c>
      <c r="S135" s="24">
        <f>IF(N59=1,1,IF(N59=2,0,0))</f>
        <v/>
      </c>
      <c r="T135" s="24">
        <f>IF(N65=1,1,IF(N65=2,0,0))</f>
        <v/>
      </c>
      <c r="U135" s="25">
        <f>SUM(D135:T135)</f>
        <v/>
      </c>
      <c r="V135" s="24" t="n"/>
      <c r="W135" s="24" t="n"/>
      <c r="X135" s="24" t="n"/>
      <c r="Y135" s="25" t="n"/>
      <c r="Z135" s="25" t="n"/>
      <c r="AA135" s="24" t="n"/>
      <c r="AB135" s="24" t="n"/>
      <c r="AC135" s="24" t="n"/>
      <c r="AD135" s="24" t="n"/>
      <c r="AE135" s="24" t="n"/>
      <c r="AF135" s="24" t="n"/>
      <c r="AG135" s="24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</row>
    <row r="136" ht="12.75" customHeight="1" s="110">
      <c r="B136" s="24" t="n"/>
      <c r="C136" s="24" t="n"/>
      <c r="D136" s="24">
        <f>IF(P21=1,1,IF(P21=2,0,0))</f>
        <v/>
      </c>
      <c r="E136" s="24">
        <f>IF(P46=1,1,IF(P46=2,0,0))</f>
        <v/>
      </c>
      <c r="F136" s="24">
        <f>IF(P50=1,1,IF(P50=2,0,0))</f>
        <v/>
      </c>
      <c r="G136" s="24">
        <f>IF(R32=1,1,IF(R32=2,0,0))</f>
        <v/>
      </c>
      <c r="H136" s="24">
        <f>IF(R57=1,1,IF(R57=2,0,0))</f>
        <v/>
      </c>
      <c r="I136" s="24">
        <f>IF(T65=1,1,IF(T65=2,0,0))</f>
        <v/>
      </c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5">
        <f>SUM(D136:T136)</f>
        <v/>
      </c>
      <c r="V136" s="24">
        <f>SUM(U135:U136)</f>
        <v/>
      </c>
      <c r="W136" s="24" t="n"/>
      <c r="X136" s="24" t="n"/>
      <c r="Y136" s="25">
        <f>SUM(V136)</f>
        <v/>
      </c>
      <c r="Z136" s="25">
        <f>IF(D177&lt;&gt;0,D177,IF(E177&lt;&gt;0,E177,IF(F177&lt;&gt;0,F177,IF(G177&lt;&gt;0,G177,IF(H177&lt;&gt;0,H177,IF(I177&lt;&gt;0,I177,0))))))</f>
        <v/>
      </c>
      <c r="AA136" s="24" t="n"/>
      <c r="AB136" s="24" t="n"/>
      <c r="AC136" s="24" t="n"/>
      <c r="AD136" s="24" t="n"/>
      <c r="AE136" s="24" t="n"/>
      <c r="AF136" s="24" t="n"/>
      <c r="AG136" s="24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</row>
    <row r="137" ht="12.75" customHeight="1" s="110">
      <c r="B137" s="24" t="n"/>
      <c r="C137" s="24" t="inlineStr">
        <is>
          <t>Asp</t>
        </is>
      </c>
      <c r="D137" s="24">
        <f>IF(D33=1,1,IF(D33=2,0,0))</f>
        <v/>
      </c>
      <c r="E137" s="24">
        <f>IF(D42=1,1,IF(D42=2,0,0))</f>
        <v/>
      </c>
      <c r="F137" s="24">
        <f>IF(F13=1,1,IF(F13=2,0,0))</f>
        <v/>
      </c>
      <c r="G137" s="24">
        <f>IF(F28=1,1,IF(F28=2,0,0))</f>
        <v/>
      </c>
      <c r="H137" s="24">
        <f>IF(F31=1,1,IF(F31=2,0,0))</f>
        <v/>
      </c>
      <c r="I137" s="24">
        <f>IF(F51=1,1,IF(F51=2,0,0))</f>
        <v/>
      </c>
      <c r="J137" s="24">
        <f>IF(F52=1,1,IF(F52=2,0,0))</f>
        <v/>
      </c>
      <c r="K137" s="24">
        <f>IF(F57=1,1,IF(F57=2,0,0))</f>
        <v/>
      </c>
      <c r="L137" s="24">
        <f>IF(H10=1,1,IF(H10=2,0,0))</f>
        <v/>
      </c>
      <c r="M137" s="24">
        <f>IF(J54=1,1,IF(J54=2,0,0))</f>
        <v/>
      </c>
      <c r="N137" s="24">
        <f>IF(J67=1,1,IF(J67=2,0,0))</f>
        <v/>
      </c>
      <c r="O137" s="24">
        <f>IF(L15=1,1,IF(L15=2,0,0))</f>
        <v/>
      </c>
      <c r="P137" s="24">
        <f>IF(L17=1,1,IF(L17=2,0,0))</f>
        <v/>
      </c>
      <c r="Q137" s="24">
        <f>IF(L21=1,1,IF(L21=2,0,0))</f>
        <v/>
      </c>
      <c r="R137" s="24">
        <f>IF(L33=1,0,IF(L33=2,1,0))</f>
        <v/>
      </c>
      <c r="S137" s="24">
        <f>IF(L36=1,1,IF(L36=2,0,0))</f>
        <v/>
      </c>
      <c r="T137" s="24">
        <f>IF(L50=1,1,IF(L50=2,0,0))</f>
        <v/>
      </c>
      <c r="U137" s="25">
        <f>SUM(D137:T137)</f>
        <v/>
      </c>
      <c r="V137" s="24" t="n"/>
      <c r="W137" s="24" t="n"/>
      <c r="X137" s="24" t="n"/>
      <c r="Y137" s="25" t="n"/>
      <c r="Z137" s="25" t="n"/>
      <c r="AA137" s="24" t="n"/>
      <c r="AB137" s="24" t="n"/>
      <c r="AC137" s="24" t="n"/>
      <c r="AD137" s="24" t="n"/>
      <c r="AE137" s="24" t="n"/>
      <c r="AF137" s="24" t="n"/>
      <c r="AG137" s="24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</row>
    <row r="138" ht="12.75" customHeight="1" s="110">
      <c r="B138" s="24" t="n"/>
      <c r="C138" s="24" t="n"/>
      <c r="D138" s="24">
        <f>IF(L51=1,1,IF(L51=2,0,0))</f>
        <v/>
      </c>
      <c r="E138" s="24">
        <f>IF(P21=1,1,IF(P21=2,0,0))</f>
        <v/>
      </c>
      <c r="F138" s="24">
        <f>IF(P59=1,1,IF(P59=2,0,0))</f>
        <v/>
      </c>
      <c r="G138" s="24">
        <f>IF(P65=1,1,IF(P65=2,0,0))</f>
        <v/>
      </c>
      <c r="H138" s="24">
        <f>IF(P66=1,1,IF(P66=2,0,0))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5">
        <f>SUM(D138:T138)</f>
        <v/>
      </c>
      <c r="V138" s="24">
        <f>SUM(U137:U138)</f>
        <v/>
      </c>
      <c r="W138" s="24" t="n"/>
      <c r="X138" s="24" t="n"/>
      <c r="Y138" s="25">
        <f>SUM(V138)</f>
        <v/>
      </c>
      <c r="Z138" s="25">
        <f>IF(D178&lt;&gt;0,D178,IF(E178&lt;&gt;0,E178,IF(F178&lt;&gt;0,F178,IF(G178&lt;&gt;0,G178,IF(H178&lt;&gt;0,H178,IF(I178&lt;&gt;0,I178,0))))))</f>
        <v/>
      </c>
      <c r="AA138" s="24" t="n"/>
      <c r="AB138" s="24" t="n"/>
      <c r="AC138" s="24" t="n"/>
      <c r="AD138" s="24" t="n"/>
      <c r="AE138" s="24" t="n"/>
      <c r="AF138" s="24" t="n"/>
      <c r="AG138" s="24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</row>
    <row r="139" ht="12.75" customHeight="1" s="110">
      <c r="B139" s="24" t="n"/>
      <c r="C139" s="24" t="inlineStr">
        <is>
          <t>Tpa</t>
        </is>
      </c>
      <c r="D139" s="24">
        <f>IF(D34=1,1,IF(D34=2,0,0))</f>
        <v/>
      </c>
      <c r="E139" s="24">
        <f>IF(H23=1,1,IF(H23=2,0,0))</f>
        <v/>
      </c>
      <c r="F139" s="24">
        <f>IF(H38=1,1,IF(H38=2,0,0))</f>
        <v/>
      </c>
      <c r="G139" s="24">
        <f>IF(J39=1,1,IF(J39=2,0,0))</f>
        <v/>
      </c>
      <c r="H139" s="24">
        <f>IF(N9=1,1,IF(N9=2,0,0))</f>
        <v/>
      </c>
      <c r="I139" s="24">
        <f>IF(N65=1,1,IF(N65=2,0,0))</f>
        <v/>
      </c>
      <c r="J139" s="24">
        <f>IF(P61=1,1,IF(P61=2,0,0))</f>
        <v/>
      </c>
      <c r="K139" s="24">
        <f>IF(P66=1,1,IF(P66=2,0,0))</f>
        <v/>
      </c>
      <c r="L139" s="24">
        <f>IF(P67=1,1,IF(P67=2,0,0))</f>
        <v/>
      </c>
      <c r="M139" s="24">
        <f>IF(R10=1,1,IF(R10=2,0,0))</f>
        <v/>
      </c>
      <c r="N139" s="24">
        <f>IF(R17=1,1,IF(R17=2,0,0))</f>
        <v/>
      </c>
      <c r="O139" s="24">
        <f>IF(R24=1,1,IF(R24=2,0,0))</f>
        <v/>
      </c>
      <c r="P139" s="24">
        <f>IF(T34=1,1,IF(T34=2,0,0))</f>
        <v/>
      </c>
      <c r="Q139" s="24">
        <f>IF(T37=1,1,IF(T37=2,0,0))</f>
        <v/>
      </c>
      <c r="R139" s="24">
        <f>IF(T50=1,1,IF(T50=2,0,0))</f>
        <v/>
      </c>
      <c r="S139" s="24">
        <f>IF(T58=1,1,IF(T58=2,0,0))</f>
        <v/>
      </c>
      <c r="T139" s="24">
        <f>IF(T62=1,1,IF(T62=2,0,0))</f>
        <v/>
      </c>
      <c r="U139" s="25">
        <f>SUM(D139:T139)</f>
        <v/>
      </c>
      <c r="V139" s="24" t="n"/>
      <c r="W139" s="24" t="n"/>
      <c r="X139" s="24" t="n"/>
      <c r="Y139" s="25" t="n"/>
      <c r="Z139" s="25" t="n"/>
      <c r="AA139" s="24" t="n"/>
      <c r="AB139" s="24" t="n"/>
      <c r="AC139" s="24" t="n"/>
      <c r="AD139" s="24" t="n"/>
      <c r="AE139" s="24" t="n"/>
      <c r="AF139" s="24" t="n"/>
      <c r="AG139" s="24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</row>
    <row r="140" ht="12.75" customHeight="1" s="110">
      <c r="B140" s="24" t="n"/>
      <c r="C140" s="24" t="n"/>
      <c r="D140" s="24">
        <f>IF(V8=1,1,IF(V8=2,0,0))</f>
        <v/>
      </c>
      <c r="E140" s="24">
        <f>IF(V12=1,1,IF(V12=2,0,0))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5">
        <f>SUM(D140:T140)</f>
        <v/>
      </c>
      <c r="V140" s="24">
        <f>SUM(U139:U140)</f>
        <v/>
      </c>
      <c r="W140" s="24" t="n"/>
      <c r="X140" s="24" t="n"/>
      <c r="Y140" s="25">
        <f>SUM(V140)</f>
        <v/>
      </c>
      <c r="Z140" s="25">
        <f>IF(D179&lt;&gt;0,D179,IF(E179&lt;&gt;0,E179,IF(F179&lt;&gt;0,F179,IF(G179&lt;&gt;0,G179,IF(H179&lt;&gt;0,H179,IF(I179&lt;&gt;0,I179,0))))))</f>
        <v/>
      </c>
      <c r="AA140" s="24" t="n"/>
      <c r="AB140" s="24" t="n"/>
      <c r="AC140" s="24" t="n"/>
      <c r="AD140" s="24" t="n"/>
      <c r="AE140" s="24" t="n"/>
      <c r="AF140" s="24" t="n"/>
      <c r="AG140" s="24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</row>
    <row r="141" ht="12.75" customHeight="1" s="110">
      <c r="B141" s="24" t="n"/>
      <c r="C141" s="24" t="inlineStr">
        <is>
          <t>Lse</t>
        </is>
      </c>
      <c r="D141" s="24">
        <f>IF(F8=1,0,IF(F8=2,1,0))</f>
        <v/>
      </c>
      <c r="E141" s="24">
        <f>IF(F17=1,1,IF(F17=2,0,0))</f>
        <v/>
      </c>
      <c r="F141" s="24">
        <f>IF(F20=1,1,IF(F20=2,0))</f>
        <v/>
      </c>
      <c r="G141" s="24">
        <f>IF(F25=1,0,IF(F25=2,1,0))</f>
        <v/>
      </c>
      <c r="H141" s="24">
        <f>IF(F56=1,0,IF(F56=2,1,0))</f>
        <v/>
      </c>
      <c r="I141" s="24">
        <f>IF(H17=1,1,IF(H17=2,0,0))</f>
        <v/>
      </c>
      <c r="J141" s="24">
        <f>IF(J62=1,1,IF(J62=2,0,0))</f>
        <v/>
      </c>
      <c r="K141" s="24">
        <f>IF(N33=1,1,IF(N33=2,0,0))</f>
        <v/>
      </c>
      <c r="L141" s="24">
        <f>IF(P16=1,1,IF(P16=2,0,0))</f>
        <v/>
      </c>
      <c r="M141" s="24">
        <f>IF(P23=1,1,IF(P23=2,0,0))</f>
        <v/>
      </c>
      <c r="N141" s="24">
        <f>IF(P27=1,1,IF(P27=2,0,0))</f>
        <v/>
      </c>
      <c r="O141" s="24">
        <f>IF(P58=1,1,IF(P58=2,0,0))</f>
        <v/>
      </c>
      <c r="P141" s="24">
        <f>IF(R8=1,1,IF(R8=2,0,0))</f>
        <v/>
      </c>
      <c r="Q141" s="24">
        <f>IF(R37=1,1,IF(R37=2,0,0))</f>
        <v/>
      </c>
      <c r="R141" s="24">
        <f>IF(R44=1,1,IF(R44=2,0,0))</f>
        <v/>
      </c>
      <c r="S141" s="24">
        <f>IF(R62=1,1,IF(R62=2,0,0))</f>
        <v/>
      </c>
      <c r="T141" s="24">
        <f>IF(R63=1,1,IF(R63=2,0,0))</f>
        <v/>
      </c>
      <c r="U141" s="25">
        <f>SUM(D141:T141)</f>
        <v/>
      </c>
      <c r="V141" s="24" t="n"/>
      <c r="W141" s="24" t="n"/>
      <c r="X141" s="24" t="n"/>
      <c r="Y141" s="25" t="n"/>
      <c r="Z141" s="25" t="n"/>
      <c r="AA141" s="24" t="n"/>
      <c r="AB141" s="24" t="n"/>
      <c r="AC141" s="24" t="n"/>
      <c r="AD141" s="24" t="n"/>
      <c r="AE141" s="24" t="n"/>
      <c r="AF141" s="24" t="n"/>
      <c r="AG141" s="24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</row>
    <row r="142" ht="12.75" customHeight="1" s="110">
      <c r="B142" s="24" t="n"/>
      <c r="C142" s="24" t="n"/>
      <c r="D142" s="24">
        <f>IF(T10=1,1,IF(T10=2,0,0))</f>
        <v/>
      </c>
      <c r="E142" s="24">
        <f>IF(T12=1,1,IF(T12=2,0,0))</f>
        <v/>
      </c>
      <c r="F142" s="24">
        <f>IF(T30=1,1,IF(T30=2,0,0))</f>
        <v/>
      </c>
      <c r="G142" s="24">
        <f>IF(T31=1,1,IF(T31=2,0,0))</f>
        <v/>
      </c>
      <c r="H142" s="24">
        <f>IF(T46=1,1,IF(T46=2,0,0))</f>
        <v/>
      </c>
      <c r="I142" s="24">
        <f>IF(T53=1,1,IF(T53=2,0,0))</f>
        <v/>
      </c>
      <c r="J142" s="24">
        <f>IF(V29=1,1,IF(V29=2,0,0))</f>
        <v/>
      </c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5">
        <f>SUM(D142:T142)</f>
        <v/>
      </c>
      <c r="V142" s="24">
        <f>SUM(U141:U142)</f>
        <v/>
      </c>
      <c r="W142" s="24" t="n"/>
      <c r="X142" s="24" t="n"/>
      <c r="Y142" s="25">
        <f>SUM(V142)</f>
        <v/>
      </c>
      <c r="Z142" s="25">
        <f>IF(D180&lt;&gt;0,D181,IF(E180&lt;&gt;0,E180,IF(F180&lt;&gt;0,F180,IF(G180&lt;&gt;0,G180,IF(H180&lt;&gt;0,H180,IF(I180&lt;&gt;0,I180,0))))))</f>
        <v/>
      </c>
      <c r="AA142" s="24" t="n"/>
      <c r="AB142" s="24" t="n"/>
      <c r="AC142" s="24" t="n"/>
      <c r="AD142" s="24" t="n"/>
      <c r="AE142" s="24" t="n"/>
      <c r="AF142" s="24" t="n"/>
      <c r="AG142" s="24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</row>
    <row r="143" ht="12.75" customHeight="1" s="110">
      <c r="B143" s="24" t="n"/>
      <c r="C143" s="24" t="inlineStr">
        <is>
          <t>Sod</t>
        </is>
      </c>
      <c r="D143" s="24">
        <f>IF(D53=1,1,IF(D53=2,0,0))</f>
        <v/>
      </c>
      <c r="E143" s="24">
        <f>IF(D56=1,0,IF(D56=2,1,0))</f>
        <v/>
      </c>
      <c r="F143" s="24">
        <f>IF(F33=1,0,IF(F33=2,1,0))</f>
        <v/>
      </c>
      <c r="G143" s="24">
        <f>IF(H45=1,1,IF(H45=2,0,0))</f>
        <v/>
      </c>
      <c r="H143" s="24">
        <f>IF(H54=1,1,IF(H54=2,0,0))</f>
        <v/>
      </c>
      <c r="I143" s="24">
        <f>IF(J12=1,1,IF(J12=2,0,0))</f>
        <v/>
      </c>
      <c r="J143" s="24">
        <f>IF(L29=1,0,IF(L29=2,1,0))</f>
        <v/>
      </c>
      <c r="K143" s="24">
        <f>IF(L32=1,0,IF(L32=2,0,0))</f>
        <v/>
      </c>
      <c r="L143" s="24">
        <f>IF(L42=1,1,IF(L42=2,0,0))</f>
        <v/>
      </c>
      <c r="M143" s="24">
        <f>IF(L47=1,0,IF(L47=2,1,0))</f>
        <v/>
      </c>
      <c r="N143" s="24">
        <f>IF(L48=1,1,IF(L48=2,0,0))</f>
        <v/>
      </c>
      <c r="O143" s="24">
        <f>IF(N28=1,0,IF(N28=2,1,0))</f>
        <v/>
      </c>
      <c r="P143" s="24">
        <f>IF(N44=1,1,IF(N44=2,0,0))</f>
        <v/>
      </c>
      <c r="Q143" s="24">
        <f>IF(N47=1,0,IF(N47=2,1,0))</f>
        <v/>
      </c>
      <c r="R143" s="24">
        <f>IF(N56=1,1,IF(N56=2,0,0))</f>
        <v/>
      </c>
      <c r="S143" s="24">
        <f>IF(N60=1,0,IF(N60=2,1,0))</f>
        <v/>
      </c>
      <c r="T143" s="24">
        <f>IF(N66=1,0,IF(N66=2,1,0))</f>
        <v/>
      </c>
      <c r="U143" s="25">
        <f>SUM(D143:T143)</f>
        <v/>
      </c>
      <c r="V143" s="24" t="n"/>
      <c r="W143" s="24" t="n"/>
      <c r="X143" s="24" t="n"/>
      <c r="Y143" s="25" t="n"/>
      <c r="Z143" s="25" t="n"/>
      <c r="AA143" s="24" t="n"/>
      <c r="AB143" s="24" t="n"/>
      <c r="AC143" s="24" t="n"/>
      <c r="AD143" s="24" t="n"/>
      <c r="AE143" s="24" t="n"/>
      <c r="AF143" s="24" t="n"/>
      <c r="AG143" s="24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</row>
    <row r="144" ht="12.75" customHeight="1" s="110">
      <c r="B144" s="24" t="n"/>
      <c r="C144" s="24" t="n"/>
      <c r="D144" s="24">
        <f>IF(N67=1,0,IF(N67=2,1,0))</f>
        <v/>
      </c>
      <c r="E144" s="24">
        <f>IF(P10=1,0,IF(P10=2,1,0))</f>
        <v/>
      </c>
      <c r="F144" s="24">
        <f>IF(P14=1,1,IF(P14=2,0,0))</f>
        <v/>
      </c>
      <c r="G144" s="24">
        <f>IF(P17=1,0,IF(P17=2,1,0))</f>
        <v/>
      </c>
      <c r="H144" s="24">
        <f>IF(P26=1,1,IF(P26=2,0,0))</f>
        <v/>
      </c>
      <c r="I144" s="24">
        <f>IF(R67=1,1,IF(R67=2,0,0))</f>
        <v/>
      </c>
      <c r="J144" s="24">
        <f>IF(T42=1,1,IF(T42=2,0,0))</f>
        <v/>
      </c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5">
        <f>SUM(D144:T144)</f>
        <v/>
      </c>
      <c r="V144" s="24">
        <f>SUM(U143:U144)</f>
        <v/>
      </c>
      <c r="W144" s="24" t="n"/>
      <c r="X144" s="24" t="n"/>
      <c r="Y144" s="25">
        <f>SUM(V144)</f>
        <v/>
      </c>
      <c r="Z144" s="25">
        <f>IF(D181&lt;&gt;0,D181,IF(E181&lt;&gt;0,E181,IF(F181&lt;&gt;0,F181,IF(G181&lt;&gt;0,G181,IF(H181&lt;&gt;0,H181,IF(I181&lt;&gt;0,I181,0))))))</f>
        <v/>
      </c>
      <c r="AA144" s="24" t="n"/>
      <c r="AB144" s="24" t="n"/>
      <c r="AC144" s="24" t="n"/>
      <c r="AD144" s="24" t="n"/>
      <c r="AE144" s="24" t="n"/>
      <c r="AF144" s="24" t="n"/>
      <c r="AG144" s="24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</row>
    <row r="145" ht="12.75" customHeight="1" s="110">
      <c r="B145" s="24" t="n"/>
      <c r="C145" s="24" t="inlineStr">
        <is>
          <t>Fam</t>
        </is>
      </c>
      <c r="D145" s="24">
        <f>IF(D28=1,1,IF(D28=2,0,0))</f>
        <v/>
      </c>
      <c r="E145" s="24">
        <f>IF(D61=1,1,IF(D61=2,0,0))</f>
        <v/>
      </c>
      <c r="F145" s="24">
        <f>IF(F30=1,0,IF(F30=2,1,0))</f>
        <v/>
      </c>
      <c r="G145" s="24">
        <f>IF(H12=1,0,IF(H12=2,1,0))</f>
        <v/>
      </c>
      <c r="H145" s="24">
        <f>IF(H32=1,1,IF(H32=2,0,0))</f>
        <v/>
      </c>
      <c r="I145" s="24">
        <f>IF(J17=1,1,IF(J17=2,0,0))</f>
        <v/>
      </c>
      <c r="J145" s="24">
        <f>IF(J22=1,1,IF(J22=2,0,0))</f>
        <v/>
      </c>
      <c r="K145" s="24">
        <f>IF(J32=1,1,IF(J32=2,0,0))</f>
        <v/>
      </c>
      <c r="L145" s="24">
        <f>IF(J44=1,0,IF(J44=2,1,0))</f>
        <v/>
      </c>
      <c r="M145" s="24">
        <f>IF(L23=1,1,IF(L23=2,0,0))</f>
        <v/>
      </c>
      <c r="N145" s="24">
        <f>IF(L59=1,1,IF(L59=2,0,0))</f>
        <v/>
      </c>
      <c r="O145" s="24">
        <f>IF(L67=1,1,IF(L67=2,0,0))</f>
        <v/>
      </c>
      <c r="P145" s="24">
        <f>IF(N30=1,1,IF(N30=2,0,0))</f>
        <v/>
      </c>
      <c r="Q145" s="24">
        <f>IF(P25=1,1,IF(P25=2,0,0))</f>
        <v/>
      </c>
      <c r="R145" s="24">
        <f>IF(P26=1,1,IF(P26=2,0,0))</f>
        <v/>
      </c>
      <c r="S145" s="24">
        <f>IF(P29=1,1,IF(P29=2,0,0))</f>
        <v/>
      </c>
      <c r="T145" s="24">
        <f>IF(P30=1,0,IF(P30=2,1,0))</f>
        <v/>
      </c>
      <c r="U145" s="25">
        <f>SUM(D145:T145)</f>
        <v/>
      </c>
      <c r="V145" s="24" t="n"/>
      <c r="W145" s="24" t="n"/>
      <c r="X145" s="24" t="n"/>
      <c r="Y145" s="25" t="n"/>
      <c r="Z145" s="25" t="n"/>
      <c r="AA145" s="24" t="n"/>
      <c r="AB145" s="24" t="n"/>
      <c r="AC145" s="24" t="n"/>
      <c r="AD145" s="24" t="n"/>
      <c r="AE145" s="24" t="n"/>
      <c r="AF145" s="24" t="n"/>
      <c r="AG145" s="24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</row>
    <row r="146" ht="12.75" customHeight="1" s="110">
      <c r="B146" s="24" t="n"/>
      <c r="C146" s="24" t="n"/>
      <c r="D146" s="24">
        <f>IF(P60=1,1,IF(P60=2,0,0))</f>
        <v/>
      </c>
      <c r="E146" s="24">
        <f>IF(R36=1,1,IF(R36=2,0,0))</f>
        <v/>
      </c>
      <c r="F146" s="24">
        <f>IF(R42=1,0,IF(R42=2,1,0))</f>
        <v/>
      </c>
      <c r="G146" s="24">
        <f>IF(R65=1,1,IF(R65=2,0,0))</f>
        <v/>
      </c>
      <c r="H146" s="24">
        <f>IF(V10=1,1,IF(V10=2,0,0))</f>
        <v/>
      </c>
      <c r="I146" s="24">
        <f>IF(V17=1,1,IF(V17=2,0,0))</f>
        <v/>
      </c>
      <c r="J146" s="24">
        <f>IF(V30=1,1,IF(V30=2,0,0))</f>
        <v/>
      </c>
      <c r="K146" s="24">
        <f>IF(V34=1,1,IF(V34=2,0,0))</f>
        <v/>
      </c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5">
        <f>SUM(D146:T146)</f>
        <v/>
      </c>
      <c r="V146" s="24">
        <f>SUM(U145:U146)</f>
        <v/>
      </c>
      <c r="W146" s="24" t="n"/>
      <c r="X146" s="24" t="n"/>
      <c r="Y146" s="25">
        <f>SUM(V146)</f>
        <v/>
      </c>
      <c r="Z146" s="25">
        <f>IF(D182&lt;&gt;0,D182,IF(E182&lt;&gt;0,E182,IF(F182&lt;&gt;0,F182,IF(G182&lt;&gt;0,G182,IF(H182&lt;&gt;0,H182,IF(I182&lt;&gt;0,I182,0))))))</f>
        <v/>
      </c>
      <c r="AA146" s="24" t="n"/>
      <c r="AB146" s="24" t="n"/>
      <c r="AC146" s="24" t="n"/>
      <c r="AD146" s="24" t="n"/>
      <c r="AE146" s="24" t="n"/>
      <c r="AF146" s="24" t="n"/>
      <c r="AG146" s="24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</row>
    <row r="147" ht="12.75" customHeight="1" s="110">
      <c r="B147" s="24" t="n"/>
      <c r="C147" s="24" t="inlineStr">
        <is>
          <t>Wrk</t>
        </is>
      </c>
      <c r="D147" s="24">
        <f>IF(D17=1,0,IF(D17=2,1,0))</f>
        <v/>
      </c>
      <c r="E147" s="24">
        <f>IF(D22=1,1,IF(D22=2,0,0))</f>
        <v/>
      </c>
      <c r="F147" s="24">
        <f>IF(D24=1,1,IF(D24=2,0,0))</f>
        <v/>
      </c>
      <c r="G147" s="24">
        <f>IF(D38=1,1,IF(D38=2,0,0))</f>
        <v/>
      </c>
      <c r="H147" s="24">
        <f>IF(D61=1,1,IF(D61=2,0,0))</f>
        <v/>
      </c>
      <c r="I147" s="24">
        <f>IF(F20=1,1,IF(F20=2,0,0))</f>
        <v/>
      </c>
      <c r="J147" s="24">
        <f>IF(F45=1,1,IF(F45=2,0,0))</f>
        <v/>
      </c>
      <c r="K147" s="24">
        <f>IF(F55=1,0,IF(F55=2,1))</f>
        <v/>
      </c>
      <c r="L147" s="24">
        <f>IF(H22=1,1,IF(H22=2,0,0))</f>
        <v/>
      </c>
      <c r="M147" s="24">
        <f>IF(J60=1,1,IF(J60=2,0,0))</f>
        <v/>
      </c>
      <c r="N147" s="24">
        <f>IF(L10=1,1,IF(L10=2,0,0))</f>
        <v/>
      </c>
      <c r="O147" s="24">
        <f>IF(L66=1,1,IF(L66=2,0,0))</f>
        <v/>
      </c>
      <c r="P147" s="24">
        <f>IF(N9=1,1,IF(N9=2,0,0))</f>
        <v/>
      </c>
      <c r="Q147" s="24">
        <f>IF(N25=1,0,IF(N25=2,1,0))</f>
        <v/>
      </c>
      <c r="R147" s="24">
        <f>IF(N46=1,1,IF(N46=2,0,0))</f>
        <v/>
      </c>
      <c r="S147" s="24">
        <f>IF(P11=1,1,IF(P11=2,0,0))</f>
        <v/>
      </c>
      <c r="T147" s="24">
        <f>IF(P15=1,1,IF(P15=2,0,0))</f>
        <v/>
      </c>
      <c r="U147" s="25">
        <f>SUM(D147:T147)</f>
        <v/>
      </c>
      <c r="V147" s="24" t="n"/>
      <c r="W147" s="24" t="n"/>
      <c r="X147" s="24" t="n"/>
      <c r="Y147" s="25" t="n"/>
      <c r="Z147" s="25" t="n"/>
      <c r="AA147" s="24" t="n"/>
      <c r="AB147" s="24" t="n"/>
      <c r="AC147" s="24" t="n"/>
      <c r="AD147" s="24" t="n"/>
      <c r="AE147" s="24" t="n"/>
      <c r="AF147" s="24" t="n"/>
      <c r="AG147" s="24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</row>
    <row r="148" ht="12.75" customHeight="1" s="110">
      <c r="B148" s="24" t="n"/>
      <c r="C148" s="24" t="n"/>
      <c r="D148" s="24">
        <f>IF(P41=1,1,IF(P41=2,0,0))</f>
        <v/>
      </c>
      <c r="E148" s="24">
        <f>IF(P56=1,1,IF(P56=2,0,0))</f>
        <v/>
      </c>
      <c r="F148" s="24">
        <f>IF(R15=1,1,IF(R15=2,0,0))</f>
        <v/>
      </c>
      <c r="G148" s="24">
        <f>IF(R32=1,1,IF(R32=2,0,0))</f>
        <v/>
      </c>
      <c r="H148" s="24">
        <f>IF(R51=1,1,IF(R51=2,0,0))</f>
        <v/>
      </c>
      <c r="I148" s="24">
        <f>IF(T18=1,1,IF(T18=2,0,0))</f>
        <v/>
      </c>
      <c r="J148" s="24">
        <f>IF(T32=1,1,IF(T32=2,0,0))</f>
        <v/>
      </c>
      <c r="K148" s="24">
        <f>IF(T36=1,1,IF(T36=2,0,0))</f>
        <v/>
      </c>
      <c r="L148" s="24">
        <f>IF(T44=1,1,IF(T44=2,0,0))</f>
        <v/>
      </c>
      <c r="M148" s="24">
        <f>IF(T48=1,0,IF(T48=2,1,0))</f>
        <v/>
      </c>
      <c r="N148" s="24">
        <f>IF(T52=1,1,IF(T52=2,0,0))</f>
        <v/>
      </c>
      <c r="O148" s="24">
        <f>IF(V12=1,1,IF(V12=2,0,0))</f>
        <v/>
      </c>
      <c r="P148" s="24">
        <f>IF(V21=1,1,IF(V21=2,0,0))</f>
        <v/>
      </c>
      <c r="Q148" s="24">
        <f>IF(V26=1,1,IF(V26=2,0,0))</f>
        <v/>
      </c>
      <c r="R148" s="24">
        <f>IF(V28=1,0,IF(V28=2,1,0))</f>
        <v/>
      </c>
      <c r="S148" s="24">
        <f>IF(V33=1,1,IF(V33=2,0,0))</f>
        <v/>
      </c>
      <c r="T148" s="24" t="n"/>
      <c r="U148" s="25">
        <f>SUM(D148:T148)</f>
        <v/>
      </c>
      <c r="V148" s="24">
        <f>SUM(U147:U148)</f>
        <v/>
      </c>
      <c r="W148" s="24" t="n"/>
      <c r="X148" s="24" t="n"/>
      <c r="Y148" s="25">
        <f>SUM(V148)</f>
        <v/>
      </c>
      <c r="Z148" s="25">
        <f>IF(D183&lt;&gt;0,D183,IF(E183&lt;&gt;0,E183,IF(F183&lt;&gt;0,F183,IF(G183&lt;&gt;0,G183,IF(H183&lt;&gt;0,H183,IF(I183&lt;&gt;0,I183,0))))))</f>
        <v/>
      </c>
      <c r="AA148" s="24" t="n"/>
      <c r="AB148" s="24" t="n"/>
      <c r="AC148" s="24" t="n"/>
      <c r="AD148" s="24" t="n"/>
      <c r="AE148" s="24" t="n"/>
      <c r="AF148" s="24" t="n"/>
      <c r="AG148" s="24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</row>
    <row r="149" ht="12.75" customHeight="1" s="110">
      <c r="B149" s="24" t="n"/>
      <c r="C149" s="24" t="inlineStr">
        <is>
          <t>Trt</t>
        </is>
      </c>
      <c r="D149" s="24">
        <f>IF(D29=1,1,IF(D29=2,0,0))</f>
        <v/>
      </c>
      <c r="E149" s="24">
        <f>IF(F39=1,1,IF(F39=2,0,0))</f>
        <v/>
      </c>
      <c r="F149" s="24">
        <f>IF(L41=1,1,IF(L41=2,0,0))</f>
        <v/>
      </c>
      <c r="G149" s="24">
        <f>IF(N13=1,1,IF(N13=2,0,0))</f>
        <v/>
      </c>
      <c r="H149" s="24">
        <f>IF(P11=1,1,IF(P11=2,0,0))</f>
        <v/>
      </c>
      <c r="I149" s="24">
        <f>IF(P15=1,1,IF(P15=2,0,0))</f>
        <v/>
      </c>
      <c r="J149" s="24">
        <f>IF(P20=1,1,IF(P20=2,0,0))</f>
        <v/>
      </c>
      <c r="K149" s="24">
        <f>IF(P22=1,1,IF(P22=2,0,0))</f>
        <v/>
      </c>
      <c r="L149" s="24">
        <f>IF(P23=1,1,IF(P23=2,0,0))</f>
        <v/>
      </c>
      <c r="M149" s="24">
        <f>IF(P24=1,1,IF(P24=2,0,0))</f>
        <v/>
      </c>
      <c r="N149" s="24">
        <f>IF(P38=1,1,IF(P38=2,0,0))</f>
        <v/>
      </c>
      <c r="O149" s="24">
        <f>IF(P46=1,1,IF(P46=2,0,0))</f>
        <v/>
      </c>
      <c r="P149" s="24">
        <f>IF(T9=1,1,IF(T9=2,0,0))</f>
        <v/>
      </c>
      <c r="Q149" s="24">
        <f>IF(T15=1,1,IF(T15=2,0,0))</f>
        <v/>
      </c>
      <c r="R149" s="24">
        <f>IF(T18=1,1,IF(T18=2,0,0))</f>
        <v/>
      </c>
      <c r="S149" s="24">
        <f>IF(T20=1,0,IF(T20=2,1,0))</f>
        <v/>
      </c>
      <c r="T149" s="24">
        <f>IF(T21=1,0,IF(T21=2,1,0))</f>
        <v/>
      </c>
      <c r="U149" s="25">
        <f>SUM(D149:T149)</f>
        <v/>
      </c>
      <c r="V149" s="24" t="n"/>
      <c r="W149" s="24" t="n"/>
      <c r="X149" s="24" t="n"/>
      <c r="Y149" s="25" t="n"/>
      <c r="Z149" s="25" t="n"/>
      <c r="AA149" s="24" t="n"/>
      <c r="AB149" s="24" t="n"/>
      <c r="AC149" s="24" t="n"/>
      <c r="AD149" s="24" t="n"/>
      <c r="AE149" s="24" t="n"/>
      <c r="AF149" s="24" t="n"/>
      <c r="AG149" s="24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</row>
    <row r="150" ht="12.75" customHeight="1" s="110">
      <c r="B150" s="24" t="n"/>
      <c r="C150" s="24" t="n"/>
      <c r="D150" s="24">
        <f>IF(T22=1,1,IF(T22=2,0,0))</f>
        <v/>
      </c>
      <c r="E150" s="24">
        <f>IF(T24=1,1,IF(T24=2,0,0))</f>
        <v/>
      </c>
      <c r="F150" s="24">
        <f>IF(T26=1,1,IF(T26=2,0,0))</f>
        <v/>
      </c>
      <c r="G150" s="24">
        <f>IF(T27=1,1,IF(T27=2,0,0))</f>
        <v/>
      </c>
      <c r="H150" s="24">
        <f>IF(T28=1,0,IF(T28=2,1,0))</f>
        <v/>
      </c>
      <c r="I150" s="24">
        <f>IF(T31=1,1,IF(T31=2,0,0))</f>
        <v/>
      </c>
      <c r="J150" s="24">
        <f>IF(T55=1,1,IF(T55=2,1,0))</f>
        <v/>
      </c>
      <c r="K150" s="24">
        <f>IF(T66=1,1,IF(T66=2,0,0))</f>
        <v/>
      </c>
      <c r="L150" s="24">
        <f>IF(V21=1,1,IF(V21=2,0,0))</f>
        <v/>
      </c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5">
        <f>SUM(D150:T150)</f>
        <v/>
      </c>
      <c r="V150" s="24">
        <f>SUM(U149:U150)</f>
        <v/>
      </c>
      <c r="W150" s="24" t="n"/>
      <c r="X150" s="24" t="n"/>
      <c r="Y150" s="25">
        <f>SUM(V150)</f>
        <v/>
      </c>
      <c r="Z150" s="25">
        <f>IF(D184&lt;&gt;0,D184,IF(E184&lt;&gt;0,E184,IF(F184&lt;&gt;0,F184,IF(G184&lt;&gt;0,G184,IF(H184&lt;&gt;0,H184,IF(I184&lt;&gt;0,I184,0))))))</f>
        <v/>
      </c>
      <c r="AA150" s="24" t="n"/>
      <c r="AB150" s="24" t="n"/>
      <c r="AC150" s="24" t="n"/>
      <c r="AD150" s="24" t="n"/>
      <c r="AE150" s="24" t="n"/>
      <c r="AF150" s="24" t="n"/>
      <c r="AG150" s="24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</row>
    <row r="151" ht="12.75" customHeight="1" s="110"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5" t="n"/>
      <c r="Z151" s="25" t="n"/>
      <c r="AA151" s="24" t="n"/>
      <c r="AB151" s="24" t="n"/>
      <c r="AC151" s="24" t="n"/>
      <c r="AD151" s="24" t="n"/>
      <c r="AE151" s="24" t="n"/>
      <c r="AF151" s="24" t="n"/>
      <c r="AG151" s="24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</row>
    <row r="152" ht="12.75" customHeight="1" s="110"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5" t="inlineStr">
        <is>
          <t>F-K</t>
        </is>
      </c>
      <c r="V152" s="24" t="n"/>
      <c r="W152" s="24" t="n"/>
      <c r="X152" s="24" t="n"/>
      <c r="Y152" s="25">
        <f>(Y77-Y79)</f>
        <v/>
      </c>
      <c r="Z152" s="25">
        <f>IF(Y152&gt;15,"Al ser la puntuación superior a 15, nos está indicando que o el sujeto finge estar mal o existe una autopercepción excesiva de problemas psicológicos.","No hay simulación")</f>
        <v/>
      </c>
      <c r="AA152" s="24" t="n"/>
      <c r="AB152" s="24" t="n"/>
      <c r="AC152" s="24" t="n"/>
      <c r="AD152" s="24" t="n"/>
      <c r="AE152" s="24" t="n"/>
      <c r="AF152" s="24" t="n"/>
      <c r="AG152" s="24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</row>
    <row r="153" ht="12.75" customHeight="1" s="110">
      <c r="B153" s="24" t="n"/>
      <c r="C153" s="25" t="inlineStr">
        <is>
          <t>Transformación en P.Típicas</t>
        </is>
      </c>
      <c r="D153" s="25" t="n"/>
      <c r="E153" s="25" t="n"/>
      <c r="F153" s="25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5" t="inlineStr">
        <is>
          <t>Indice de GOLDBERB</t>
        </is>
      </c>
      <c r="V153" s="24" t="n"/>
      <c r="W153" s="24" t="n"/>
      <c r="X153" s="24" t="n"/>
      <c r="Y153" s="25">
        <f>(Z73+Z102+Z108-Z87-Z105)</f>
        <v/>
      </c>
      <c r="Z153" s="25">
        <f>IF(Y153&gt;45,"Sospecha de psicosis","Sospecha trastorno neurótico.")</f>
        <v/>
      </c>
      <c r="AA153" s="24" t="n"/>
      <c r="AB153" s="24" t="n"/>
      <c r="AC153" s="24" t="n"/>
      <c r="AD153" s="24" t="n"/>
      <c r="AE153" s="24" t="n"/>
      <c r="AF153" s="24" t="n"/>
      <c r="AG153" s="24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</row>
    <row r="154" ht="12.75" customHeight="1" s="110">
      <c r="B154" s="24" t="n"/>
      <c r="C154" s="26" t="inlineStr">
        <is>
          <t>?</t>
        </is>
      </c>
      <c r="D154" s="24">
        <f>IF(Y72&lt;=1,"Válido",IF(Y72=2,"Probablex válido",IF(Y72=3,"Probablex válido",IF(Y72=4,"Probablex válido",IF(Y72=5,"Probablex válido",IF(Y72=6,"Probablex",IF(Y72=7,"Probablex válido",0)))))))</f>
        <v/>
      </c>
      <c r="E154" s="24">
        <f>IF(Y72=8,"Probablex válido",IF(Y72=9,"Probablex válido",IF(Y72=10,"Probablex válido",IF(Y72=11,"Validez cuestionable",IF(Y72=12,"Validez cuestionable",IF(Y72=13,"Validez cuestionable",IF(Y72=14,"Validez cuestionable",0)))))))</f>
        <v/>
      </c>
      <c r="F154" s="24">
        <f>IF(Y72=15,"Validez cuestionable",IF(Y72=16,"Validez cuestionable",IF(Y72=17,"Validez cuestionable",IF(Y72=18,"Validez cuestionable",IF(Y72=19,"Validez cuestionable",IF(Y72=20,"Validez cuestionable",IF(Y72=21,"Validez cuestionable",0)))))))</f>
        <v/>
      </c>
      <c r="G154" s="24">
        <f>IF(Y72=22,"Validez cuestionable",IF(Y72=23,"Validez cuestionable",IF(Y72=24,"Validez cuestionable",IF(Y72=25,"Validez cuestionable",IF(Y72=26,"Validez cuestionable",IF(Y72=27,"Validez cuestionable",IF(Y72=28,"Validez cuestionable",0)))))))</f>
        <v/>
      </c>
      <c r="H154" s="24">
        <f>IF(Y72=29,"Validez cuestionable",IF(Y72&gt;=30,"Probablex inválido",0))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5" t="n"/>
      <c r="Z154" s="25" t="n"/>
      <c r="AA154" s="24" t="n"/>
      <c r="AB154" s="24" t="n"/>
      <c r="AC154" s="24" t="n"/>
      <c r="AD154" s="24" t="n"/>
      <c r="AE154" s="24" t="n"/>
      <c r="AF154" s="24" t="n"/>
      <c r="AG154" s="24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</row>
    <row r="155" ht="12.75" customHeight="1" s="110">
      <c r="B155" s="24" t="n"/>
      <c r="C155" s="26" t="inlineStr">
        <is>
          <t>L</t>
        </is>
      </c>
      <c r="D155" s="24">
        <f>IF(Y73=0,30,IF(Y73=1,35,IF(Y73=2,39,IF(Y73=3,43,IF(Y73=4,47,IF(Y73=5,51,IF(Y73=6,55,0)))))))</f>
        <v/>
      </c>
      <c r="E155" s="24">
        <f>IF(Y73=7,59,IF(Y73=8,63,IF(Y73=9,67,IF(Y73=10,71,IF(Y73=11,75,IF(Y73=12,79,IF(Y73=13,83,0)))))))</f>
        <v/>
      </c>
      <c r="F155" s="24">
        <f>IF(Y73=14,88,IF(Y73=15,92,0))</f>
        <v/>
      </c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5" t="n"/>
      <c r="Z155" s="25" t="n"/>
      <c r="AA155" s="24" t="n"/>
      <c r="AB155" s="24" t="n"/>
      <c r="AC155" s="24" t="n"/>
      <c r="AD155" s="24" t="n"/>
      <c r="AE155" s="24" t="n"/>
      <c r="AF155" s="24" t="n"/>
      <c r="AG155" s="24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</row>
    <row r="156" ht="12.75" customHeight="1" s="110">
      <c r="B156" s="24" t="n"/>
      <c r="C156" s="26" t="inlineStr">
        <is>
          <t>F</t>
        </is>
      </c>
      <c r="D156" s="24">
        <f>IF(Y77=0,36,IF(Y77=1,38,IF(Y77=2,40,IF(Y77=3,42,IF(Y77=4,43,IF(Y77=5,45,IF(Y77=6,47,0)))))))</f>
        <v/>
      </c>
      <c r="E156" s="24">
        <f>IF(Y77=7,49,IF(Y77=8,51,IF(Y77=9,52,IF(Y77=10,54,IF(Y77=11,56,IF(Y77=12,58,IF(Y77=13,59,0)))))))</f>
        <v/>
      </c>
      <c r="F156" s="24">
        <f>IF(Y77=14,61,IF(Y77=15,63,IF(Y77=16,65,IF(Y77=17,67,IF(Y77=18,68,IF(Y77=19,70,IF(Y77=20,72,0)))))))</f>
        <v/>
      </c>
      <c r="G156" s="24">
        <f>IF(Y77=21,74,IF(Y77=22,76,IF(Y77=23,77,IF(Y77=24,79,IF(Y77=25,81,IF(Y77=26,83,IF(Y77=27,85,0)))))))</f>
        <v/>
      </c>
      <c r="H156" s="24">
        <f>IF(Y77=28,86,IF(Y77=29,88,IF(Y77=30,90,IF(Y77=31,92,IF(Y77=32,93,IF(Y77=33,95,IF(Y77=34,97,0)))))))</f>
        <v/>
      </c>
      <c r="I156" s="24">
        <f>IF(Y77=35,99,IF(Y77=36,101,IF(Y77=37,102,IF(Y77=38,104,IF(Y77=39,106,IF(Y77=40,108,IF(Y77=41,110,0)))))))</f>
        <v/>
      </c>
      <c r="J156" s="24">
        <f>IF(Y77=42,111,IF(Y77=43,113,IF(Y77=44,115,IF(Y77=45,117,IF(Y77=46,119,IF(Y77=47,120,0))))))</f>
        <v/>
      </c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5" t="n"/>
      <c r="Z156" s="25" t="n"/>
      <c r="AA156" s="24" t="n"/>
      <c r="AB156" s="24" t="n"/>
      <c r="AC156" s="24" t="n"/>
      <c r="AD156" s="24" t="n"/>
      <c r="AE156" s="24" t="n"/>
      <c r="AF156" s="24" t="n"/>
      <c r="AG156" s="24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</row>
    <row r="157" ht="12.75" customHeight="1" s="110">
      <c r="B157" s="24" t="n"/>
      <c r="C157" s="26" t="inlineStr">
        <is>
          <t>K</t>
        </is>
      </c>
      <c r="D157" s="24">
        <f>IF(Y79&lt;6,999,IF(Y79=6,31,IF(Y79=7,33,IF(Y79=8,35,IF(Y79=9,37,IF(Y79=10,40,IF(Y79=11,42,0)))))))</f>
        <v/>
      </c>
      <c r="E157" s="24">
        <f>IF(Y79=12,44,IF(Y79=13,46,IF(Y79=14,48,IF(Y79=15,51,IF(Y79=16,53,IF(Y79=17,55,IF(Y79=18,57,0)))))))</f>
        <v/>
      </c>
      <c r="F157" s="24">
        <f>IF(Y79=19,60,IF(Y79=20,62,IF(Y79=21,64,IF(Y79=22,66,IF(Y79=23,68,IF(Y79=24,71,IF(Y79=25,73,0)))))))</f>
        <v/>
      </c>
      <c r="G157" s="24">
        <f>IF(Y79=26,75,IF(Y79=27,77,IF(Y79=28,80,IF(Y79=29,82,IF(Y79=30,84,IF(Y79=31,86,IF(Y79=32,88,0)))))))</f>
        <v/>
      </c>
      <c r="H157" s="24">
        <f>IF(Y79=33,91,IF(Y79=34,93,IF(Y79=35,95,IF(Y79=36,97,IF(Y79=37,99,IF(Y79=38,102,0))))))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5" t="n"/>
      <c r="Z157" s="25" t="n"/>
      <c r="AA157" s="24" t="n"/>
      <c r="AB157" s="24" t="n"/>
      <c r="AC157" s="24" t="n"/>
      <c r="AD157" s="24" t="n"/>
      <c r="AE157" s="24" t="n"/>
      <c r="AF157" s="24" t="n"/>
      <c r="AG157" s="24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</row>
    <row r="158" ht="12.75" customHeight="1" s="110">
      <c r="B158" s="24" t="n"/>
      <c r="C158" s="26" t="inlineStr">
        <is>
          <t>Hs</t>
        </is>
      </c>
      <c r="D158" s="24">
        <f>IF(Y82&lt;6,999,IF(Y82=6,31,IF(Y82=7,33,IF(Y82=8,35,IF(Y82=9,37,IF(Y82=10,40,IF(Y82=11,42,0)))))))</f>
        <v/>
      </c>
      <c r="E158" s="24">
        <f>IF(Y82=12,44,IF(Y82=13,46,IF(Y82=14,48,IF(Y82=15,51,IF(Y82=16,53,IF(Y82=17,55,IF(Y82=18,57,0)))))))</f>
        <v/>
      </c>
      <c r="F158" s="24">
        <f>IF(Y82=19,60,IF(Y82=20,62,IF(Y82=21,64,IF(Y82=22,66,IF(Y82=23,68,IF(Y82=24,71,IF(Y82=25,73,0)))))))</f>
        <v/>
      </c>
      <c r="G158" s="24">
        <f>IF(Y82=26,75,IF(Y82=27,77,IF(Y82=28,80,IF(Y82=29,82,IF(Y82=30,84,IF(Y82=31,86,IF(Y82=32,88,0)))))))</f>
        <v/>
      </c>
      <c r="H158" s="24">
        <f>IF(Y82=33,91,IF(Y82=34,93,IF(Y82=35,95,IF(Y82=36,97,IF(Y82=37,99,IF(Y82=38,102,0))))))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5" t="n"/>
      <c r="Z158" s="25" t="n"/>
      <c r="AA158" s="24" t="n"/>
      <c r="AB158" s="24" t="n"/>
      <c r="AC158" s="24" t="n"/>
      <c r="AD158" s="24" t="n"/>
      <c r="AE158" s="24" t="n"/>
      <c r="AF158" s="24" t="n"/>
      <c r="AG158" s="24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</row>
    <row r="159" ht="12.75" customHeight="1" s="110">
      <c r="B159" s="24" t="n"/>
      <c r="C159" s="26" t="inlineStr">
        <is>
          <t>D</t>
        </is>
      </c>
      <c r="D159" s="24">
        <f>IF(Y86&lt;12,999,IF(Y86=12,30,IF(Y86=13,32,IF(Y86=14,34,IF(Y86=15,36,IF(Y86=16,38,IF(Y86=17,40,0)))))))</f>
        <v/>
      </c>
      <c r="E159" s="24">
        <f>IF(Y86=18,42,IF(Y86=19,44,IF(Y86=20,46,IF(Y86=21,48,IF(Y86=22,50,IF(Y86=23,52,IF(Y86=24,54,0)))))))</f>
        <v/>
      </c>
      <c r="F159" s="24">
        <f>IF(Y86=25,56,IF(Y86=26,58,IF(Y86=27,60,IF(Y86=28,62,IF(Y86=29,64,IF(Y86=30,66,IF(Y86=31,68,0)))))))</f>
        <v/>
      </c>
      <c r="G159" s="24">
        <f>IF(Y86=32,70,IF(Y86=33,72,IF(Y86=34,74,IF(Y86=35,76,IF(Y86=36,78,IF(Y86=37,80,IF(Y86=38,82,0)))))))</f>
        <v/>
      </c>
      <c r="H159" s="24">
        <f>IF(Y86=39,84,IF(Y86=40,86,IF(Y86=41,88,IF(Y86=42,90,IF(Y86=43,92,IF(Y86=44,94,IF(Y86=45,96,0)))))))</f>
        <v/>
      </c>
      <c r="I159" s="24">
        <f>IF(Y86=46,98,IF(Y86=47,100,IF(Y86=48,102,IF(Y86=49,104,IF(Y86=50,105,IF(Y86=51,108,IF(Y86=52,110,0)))))))</f>
        <v/>
      </c>
      <c r="J159" s="24">
        <f>IF(Y86=53,112,IF(Y86=54,114,IF(Y86=55,116,IF(Y86=56,118,IF(Y86=57,120,0)))))</f>
        <v/>
      </c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inlineStr">
        <is>
          <t>FRACCION DE K ESCALA Hs: 0,5</t>
        </is>
      </c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  <c r="AC159" s="24" t="n"/>
      <c r="AD159" s="24" t="n"/>
      <c r="AE159" s="24" t="n"/>
      <c r="AF159" s="24" t="n"/>
      <c r="AG159" s="24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</row>
    <row r="160" ht="12.75" customHeight="1" s="110">
      <c r="B160" s="24" t="n"/>
      <c r="C160" s="26" t="inlineStr">
        <is>
          <t>Hy</t>
        </is>
      </c>
      <c r="D160" s="24">
        <f>IF(Y90&lt;13,999,IF(Y90=13,31,IF(Y90=14,33,IF(Y90=15,35,IF(Y90=16,37,IF(Y90=17,39,IF(Y90=18,41,0)))))))</f>
        <v/>
      </c>
      <c r="E160" s="24">
        <f>IF(Y90=19,43,IF(Y90=20,45,IF(Y90=21,48,IF(Y90=22,50,IF(Y90=23,52,IF(Y90=24,54,IF(Y90=25,56,0)))))))</f>
        <v/>
      </c>
      <c r="F160" s="24">
        <f>IF(Y90=26,58,IF(Y90=27,60,IF(Y90=28,62,IF(Y90=29,64,IF(Y90=30,66,IF(Y90=31,68,IF(Y90=32,70,0)))))))</f>
        <v/>
      </c>
      <c r="G160" s="24">
        <f>IF(Y90=33,72,IF(Y90=34,74,IF(Y90=35,76,IF(Y90=36,78,IF(Y90=37,80,IF(Y90=38,82,IF(Y90=39,84,0)))))))</f>
        <v/>
      </c>
      <c r="H160" s="24">
        <f>IF(Y90=40,86,IF(Y90=41,89,IF(Y90=42,91,IF(Y90=43,93,IF(Y90=44,95,IF(Y90=45,97,IF(Y90=46,99,0)))))))</f>
        <v/>
      </c>
      <c r="I160" s="24">
        <f>IF(Y90=47,101,IF(Y90=48,103,IF(Y90=49,105,IF(Y90=50,107,IF(Y90=51,109,IF(Y90=52,111,IF(Y90=53,113,0)))))))</f>
        <v/>
      </c>
      <c r="J160" s="24">
        <f>IF(Y90=54,115,IF(Y90=55,117,IF(Y90=56,116,IF(Y90&gt;56,120,0))))</f>
        <v/>
      </c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>
        <f>IF(W82=0.5,1,IF(W82=1,1,IF(W82=1.5,2,IF(W82=2,2,IF(W82=2.5,3,IF(W82=3,3,IF(W82=3.5,4,0)))))))</f>
        <v/>
      </c>
      <c r="T160" s="24">
        <f>IF(W82=4,4,IF(W82=4.5,5,IF(W82=5,5,IF(W82=5.5,6,IF(W82=6,6,IF(W82=6.5,6,IF(W82=6,6,0)))))))</f>
        <v/>
      </c>
      <c r="U160" s="24">
        <f>IF(W82=6.5,7,IF(W82=7,7,IF(W82=7.5,8,IF(W82=8,8,IF(W82=8.5,9,IF(W82=9,9,IF(W82=9.5,10,0)))))))</f>
        <v/>
      </c>
      <c r="V160" s="24">
        <f>IF(W82=10,10,IF(W82=10.5,11,IF(W82=11,11,IF(W82=11.5,12,IF(W82=12,12,IF(W82=12.5,13,IF(W82=13,13,0)))))))</f>
        <v/>
      </c>
      <c r="W160" s="24">
        <f>IF(W82=13.5,14,IF(W82=14,14,IF(W82=14.5,15,IF(W82=15,15,0))))</f>
        <v/>
      </c>
      <c r="X160" s="24">
        <f>SUM(S160:W160)</f>
        <v/>
      </c>
      <c r="Y160" s="24" t="n"/>
      <c r="Z160" s="24" t="n"/>
      <c r="AA160" s="24" t="n"/>
      <c r="AB160" s="24" t="n"/>
      <c r="AC160" s="24" t="n"/>
      <c r="AD160" s="24" t="n"/>
      <c r="AE160" s="24" t="n"/>
      <c r="AF160" s="24" t="n"/>
      <c r="AG160" s="24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</row>
    <row r="161" ht="12.75" customHeight="1" s="110">
      <c r="B161" s="24" t="n"/>
      <c r="C161" s="26" t="inlineStr">
        <is>
          <t>Pd</t>
        </is>
      </c>
      <c r="D161" s="24">
        <f>IF(Y93&lt;=13,999,IF(Y93=14,30,IF(Y93=15,31,IF(Y93=16,33,IF(Y93=17,35,IF(Y93=18,37,IF(Y93=19,39,0)))))))</f>
        <v/>
      </c>
      <c r="E161" s="24">
        <f>IF(Y93=20,41,IF(Y93=21,44,IF(Y93=22,46,IF(Y93=23,48,IF(Y93=24,50,IF(Y93=25,52,IF(Y93=26,54,0)))))))</f>
        <v/>
      </c>
      <c r="F161" s="24">
        <f>IF(Y93=27,56,IF(Y93=28,58,IF(Y93=29,61,IF(Y93=30,63,IF(Y93=31,65,IF(Y93=32,67,IF(Y93=33,69,0)))))))</f>
        <v/>
      </c>
      <c r="G161" s="24">
        <f>IF(Y93=34,71,IF(Y93=35,73,IF(Y93=36,76,IF(Y93=37,78,IF(Y93=38,80,IF(Y93=39,82,IF(Y93=40,84,0)))))))</f>
        <v/>
      </c>
      <c r="H161" s="24">
        <f>IF(Y93=41,86,IF(Y93=42,88,IF(Y93=43,91,IF(Y93=44,93,IF(Y93=45,95,IF(Y93=46,97,IF(Y93=47,99,0)))))))</f>
        <v/>
      </c>
      <c r="I161" s="24">
        <f>IF(Y93=48,101,IF(Y93=49,103,IF(Y93=50,106,IF(Y93=51,108,IF(Y93=52,110,IF(Y93=53,112,IF(Y93=54,114,0)))))))</f>
        <v/>
      </c>
      <c r="J161" s="24">
        <f>IF(Y93=55,116,IF(Y93=56,118,IF(Y93&gt;=57,120,0)))</f>
        <v/>
      </c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inlineStr">
        <is>
          <t>FRACCIÓN DE K ESCALA Pd: 0,4</t>
        </is>
      </c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  <c r="AE161" s="24" t="n"/>
      <c r="AF161" s="24" t="n"/>
      <c r="AG161" s="24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</row>
    <row r="162" ht="12.75" customHeight="1" s="110">
      <c r="B162" s="24" t="n"/>
      <c r="C162" s="26" t="inlineStr">
        <is>
          <t>Mfv</t>
        </is>
      </c>
      <c r="D162" s="24">
        <f>IF(Y97&lt;17,999,IF(Y97=17,30,IF(Y97=18,32,IF(Y97=19,35,IF(Y97=20,37,IF(Y97=21,40,IF(Y97=22,42,0)))))))</f>
        <v/>
      </c>
      <c r="E162" s="24">
        <f>IF(Y97=23,44,IF(Y97=24,47,IF(Y97=25,49,IF(Y97=26,51,IF(Y97=27,54,IF(Y97=28,56,IF(Y97=29,59,0)))))))</f>
        <v/>
      </c>
      <c r="F162" s="24">
        <f>IF(Y97=30,61,IF(Y97=31,63,IF(Y97=32,66,IF(Y97=33,68,IF(Y97=34,71,IF(Y97=35,73,IF(Y97=36,75,0)))))))</f>
        <v/>
      </c>
      <c r="G162" s="24">
        <f>IF(Y97=37,78,IF(Y97=38,80,IF(Y97=39,82,IF(Y97=40,85,IF(Y97=41,87,IF(Y97=42,90,IF(Y97=43,92,0)))))))</f>
        <v/>
      </c>
      <c r="H162" s="24">
        <f>IF(Y97=44,94,IF(Y97=45,97,IF(Y97=46,99,IF(Y97=47,101,IF(Y97=48,104,IF(Y97=49,106,IF(Y97=50,109,0)))))))</f>
        <v/>
      </c>
      <c r="I162" s="24">
        <f>IF(Y97=51,111,IF(Y97=52,113,IF(Y97=53,116,IF(Y97=54,118,IF(Y97&gt;54,119,0)))))</f>
        <v/>
      </c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>
        <f>IF(W90=0,0,IF(W93=0.4,0,IF(W93=0.8,1,IF(W93=1.2,1,IF(W93=1.6,2,IF(W93=2,2,IF(W93=2.4,2,0)))))))</f>
        <v/>
      </c>
      <c r="T162" s="24">
        <f>IF(W93=2.8,3,IF(W93=3.2,3,IF(W93=3.6,4,IF(W93=4,4,IF(W93=4.4,4,IF(W93=4.8,5,IF(W93=5.2,5,0)))))))</f>
        <v/>
      </c>
      <c r="U162" s="24">
        <f>IF(W93=5.6,6,IF(W93=6,6,IF(W93=6.4,6,IF(W93=6.8,7,IF(W93=7.2,7,IF(W93=7.6,8,IF(W93=8,8,0)))))))</f>
        <v/>
      </c>
      <c r="V162" s="24">
        <f>IF(W93=8.4,8,IF(W93=8.8,9,IF(W93=9.2,9,IF(W93=9.6,10,IF(W93=10,10,IF(W93=10.4,10,IF(W93=10.8,11,0)))))))</f>
        <v/>
      </c>
      <c r="W162" s="24">
        <f>IF(W93=11.2,11,IF(W93=11.6,12,0))</f>
        <v/>
      </c>
      <c r="X162" s="24">
        <f>SUM(S162:W162)</f>
        <v/>
      </c>
      <c r="Y162" s="24" t="n"/>
      <c r="Z162" s="24" t="n"/>
      <c r="AA162" s="24" t="n"/>
      <c r="AB162" s="24" t="n"/>
      <c r="AC162" s="24" t="n"/>
      <c r="AD162" s="24" t="n"/>
      <c r="AE162" s="24" t="n"/>
      <c r="AF162" s="24" t="n"/>
      <c r="AG162" s="24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</row>
    <row r="163" ht="12.75" customHeight="1" s="110">
      <c r="B163" s="24" t="n"/>
      <c r="C163" s="26" t="inlineStr">
        <is>
          <t>Pa</t>
        </is>
      </c>
      <c r="D163" s="24">
        <f>IF(Y104&lt;4,999,IF(Y104=4,30,IF(Y104=5,33,IF(Y104=6,36,IF(Y104=7,38,IF(Y104=8,41,IF(Y104=9,44,0)))))))</f>
        <v/>
      </c>
      <c r="E163" s="24">
        <f>IF(Y104=10,47,IF(Y104=11,50,IF(Y104=12,53,IF(Y104=13,55,IF(Y104=14,58,IF(Y104=15,61,IF(Y104=16,64,0)))))))</f>
        <v/>
      </c>
      <c r="F163" s="24">
        <f>IF(Y104=17,67,IF(Y104=18,69,IF(Y104=19,72,IF(Y104=20,75,IF(Y104=21,78,IF(Y104=22,81,IF(Y104=23,84,0)))))))</f>
        <v/>
      </c>
      <c r="G163" s="24">
        <f>IF(Y104=24,87,IF(Y104=25,90,IF(Y104=26,92,IF(Y104=27,95,IF(Y104=28,98,IF(Y104=29,101,IF(Y104=30,104,0)))))))</f>
        <v/>
      </c>
      <c r="H163" s="24">
        <f>IF(Y104=31,107,IF(Y104=32,108,IF(Y104=33,112,IF(Y104=34,115,IF(Y104=35,118,IF(Y104&gt;35,119,0))))))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inlineStr">
        <is>
          <t>FRACCION DE K ESCALA Ma: 0,2</t>
        </is>
      </c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4" t="n"/>
      <c r="AE163" s="24" t="n"/>
      <c r="AF163" s="24" t="n"/>
      <c r="AG163" s="24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</row>
    <row r="164" ht="12.75" customHeight="1" s="110">
      <c r="B164" s="24" t="n"/>
      <c r="C164" s="26" t="inlineStr">
        <is>
          <t>Pt</t>
        </is>
      </c>
      <c r="D164" s="24">
        <f>IF(Y107&lt;18,999,IF(Y107=18,30,IF(Y107=19,32,IF(Y107=20,33,IF(Y107=21,35,IF(Y107=22,37,IF(Y107=23,38,0)))))))</f>
        <v/>
      </c>
      <c r="E164" s="24">
        <f>IF(Y107=24,40,IF(Y107=25,42,IF(Y107=26,44,IF(Y107=27,45,IF(Y107=28,47,IF(Y107=29,49,IF(Y107=30,50,0)))))))</f>
        <v/>
      </c>
      <c r="F164" s="24">
        <f>IF(Y107=31,52,IF(Y107=32,54,IF(Y107=33,55,IF(Y107=34,57,IF(Y107=35,59,IF(Y107=36,61,IF(Y107=37,62,0)))))))</f>
        <v/>
      </c>
      <c r="G164" s="24">
        <f>IF(Y107=38,64,IF(Y107=39,66,IF(Y107=40,67,IF(Y107=41,69,IF(Y107=42,71,IF(Y107=43,72,IF(Y107=44,74,0)))))))</f>
        <v/>
      </c>
      <c r="H164" s="24">
        <f>IF(Y107=45,76,IF(Y107=46,77,IF(Y107=47,79,IF(Y107=48,81,IF(Y107=49,83,IF(Y107=50,84,IF(Y107=51,86,0)))))))</f>
        <v/>
      </c>
      <c r="I164" s="24">
        <f>IF(Y107=52,88,IF(Y107=53,89,IF(Y107=54,91,IF(Y107=55,93,IF(Y107=56,94,IF(Y107=57,96,IF(Y107=58,98,0)))))))</f>
        <v/>
      </c>
      <c r="J164" s="24">
        <f>IF(Y107=59,99,IF(Y107=60,101,IF(Y107=61,103,IF(Y107=62,105,IF(Y107=63,106,IF(Y107=64,108,IF(Y107=65,110,0)))))))</f>
        <v/>
      </c>
      <c r="K164" s="24">
        <f>IF(Y107=66,111,IF(Y107=67,113,IF(Y107=68,115,IF(Y107=69,116,IF(Y107=70,118,IF(Y107=71,120,0))))))</f>
        <v/>
      </c>
      <c r="L164" s="24" t="n"/>
      <c r="M164" s="24" t="n"/>
      <c r="N164" s="24" t="n"/>
      <c r="O164" s="24" t="n"/>
      <c r="P164" s="24" t="n"/>
      <c r="Q164" s="24" t="n"/>
      <c r="R164" s="24" t="n"/>
      <c r="S164" s="24">
        <f>IF(W115=0,0,IF(W115=0.4,0,IF(W115=0.6,1,IF(W115=0.8,1,IF(W115=1,1,IF(W115=1.2,1,IF(W115=1.4,1,0)))))))</f>
        <v/>
      </c>
      <c r="T164" s="24">
        <f>IF(W115=1.6,2,IF(W115=1.8,2,IF(W115=2,2,IF(W115=2.2,2,IF(W115=2.4,2,IF(W115=2.6,3,IF(W115=2.8,3,0)))))))</f>
        <v/>
      </c>
      <c r="U164" s="24">
        <f>IF(W115=3,3,IF(W115=3.2,3,IF(W115=3.4,3,IF(W115=3.6,4,IF(W115=3.8,4,IF(W115=4,4,IF(W115=4.2,4,0)))))))</f>
        <v/>
      </c>
      <c r="V164" s="24">
        <f>IF(W115=4.4,4,IF(W115=4.6,5,IF(W115=4.8,5,IF(W115=5,5,IF(W115=5.2,5,IF(W115=5.4,5,IF(W115=5.6,6,0)))))))</f>
        <v/>
      </c>
      <c r="W164" s="24">
        <f>IF(W115=5.8,6,IF(W115=6,6,0))</f>
        <v/>
      </c>
      <c r="X164" s="24">
        <f>SUM(S164:W164)</f>
        <v/>
      </c>
      <c r="Y164" s="24" t="n"/>
      <c r="Z164" s="24" t="n"/>
      <c r="AA164" s="24" t="n"/>
      <c r="AB164" s="24" t="n"/>
      <c r="AC164" s="24" t="n"/>
      <c r="AD164" s="24" t="n"/>
      <c r="AE164" s="24" t="n"/>
      <c r="AF164" s="24" t="n"/>
      <c r="AG164" s="24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</row>
    <row r="165" ht="12.75" customHeight="1" s="110">
      <c r="B165" s="24" t="n"/>
      <c r="C165" s="26" t="inlineStr">
        <is>
          <t>Sc</t>
        </is>
      </c>
      <c r="D165" s="24">
        <f>IF(Y112&lt;=15,999,IF(Y112=16,30,IF(Y112=17,31,IF(Y112=18,33,IF(Y112=19,34,IF(Y112=20,35,IF(Y112=21,36,0)))))))</f>
        <v/>
      </c>
      <c r="E165" s="24">
        <f>IF(Y112=22,38,IF(Y112=23,39,IF(Y112=24,40,IF(Y112=25,42,IF(Y112=26,43,IF(Y112=27,44,IF(Y112=28,46,0)))))))</f>
        <v/>
      </c>
      <c r="F165" s="24">
        <f>IF(Y112=29,47,IF(Y112=30,48,IF(Y112=31,50,IF(Y112=32,51,IF(Y112=33,52,IF(Y112=34,54,IF(Y112=35,55,0)))))))</f>
        <v/>
      </c>
      <c r="G165" s="24">
        <f>IF(Y112=36,56,IF(Y112=37,57,IF(Y112=38,59,IF(Y112=39,60,IF(Y112=40,61,IF(Y112=41,63,IF(Y112=42,64,0)))))))</f>
        <v/>
      </c>
      <c r="H165" s="24">
        <f>IF(Y112=43,65,IF(Y112=44,67,IF(Y112=45,68,IF(Y112=46,69,IF(Y112=47,71,IF(Y112=48,72,IF(Y112=49,73,0)))))))</f>
        <v/>
      </c>
      <c r="I165" s="24">
        <f>IF(Y112=50,75,IF(Y112=51,76,IF(Y112=52,77,IF(Y112=53,79,IF(Y112=54,80,IF(Y112=55,81,IF(Y112=56,82,0)))))))</f>
        <v/>
      </c>
      <c r="J165" s="24">
        <f>IF(Y112=57,84,IF(Y112=58,85,IF(Y112=59,86,IF(Y112=60,88,IF(Y112=61,89,IF(Y112=62,90,IF(Y112=63,92,0)))))))</f>
        <v/>
      </c>
      <c r="K165" s="24">
        <f>IF(Y112=64,93,IF(Y112=65,94,IF(Y112=66,96,IF(Y112=67,97,IF(Y112=68,98,IF(Y112=69,100,IF(Y112=70,101,0)))))))</f>
        <v/>
      </c>
      <c r="L165" s="24">
        <f>IF(Y112=71,102,IF(Y112=72,103,IF(Y112=73,105,IF(Y112=74,106,IF(Y112=75,107,IF(Y112=76,109,IF(Y112=77,110,0)))))))</f>
        <v/>
      </c>
      <c r="M165" s="24">
        <f>IF(Y112=78,111,IF(Y112=79,113,IF(Y112=80,114,IF(Y112=81,115,IF(Y112=82,117,IF(Y112=83,118,IF(Y112&gt;=84,119,0)))))))</f>
        <v/>
      </c>
      <c r="N165" s="24" t="n"/>
      <c r="O165" s="24">
        <f>SUM(D165:M165)</f>
        <v/>
      </c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5" t="n"/>
      <c r="Z165" s="25" t="n"/>
      <c r="AA165" s="24" t="n"/>
      <c r="AB165" s="24" t="n"/>
      <c r="AC165" s="24" t="n"/>
      <c r="AD165" s="24" t="n"/>
      <c r="AE165" s="24" t="n"/>
      <c r="AF165" s="24" t="n"/>
      <c r="AG165" s="24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</row>
    <row r="166" ht="12.75" customHeight="1" s="110">
      <c r="B166" s="24" t="n"/>
      <c r="C166" s="26" t="inlineStr">
        <is>
          <t>Ma</t>
        </is>
      </c>
      <c r="D166" s="24">
        <f>IF(Y115&lt;11,999,IF(Y115=11,30,IF(Y115=12,31,IF(Y115=13,33,IF(Y115=14,36,IF(Y115=15,38,IF(Y115=16,40,0)))))))</f>
        <v/>
      </c>
      <c r="E166" s="24">
        <f>IF(Y115=17,43,IF(Y115=18,45,IF(Y115=19,47,IF(Y115=20,50,IF(Y115=21,52,IF(Y115=22,55,IF(Y115=23,57,0)))))))</f>
        <v/>
      </c>
      <c r="F166" s="24">
        <f>IF(Y115=24,59,IF(Y115=25,62,IF(Y115=26,64,IF(Y115=27,66,IF(Y115=28,69,IF(Y115=29,71,IF(Y115=30,73,0)))))))</f>
        <v/>
      </c>
      <c r="G166" s="24">
        <f>IF(Y115=31,76,IF(Y115=32,78,IF(Y115=33,81,IF(Y115=34,83,IF(Y115=35,85,IF(Y115=36,88,IF(Y115=37,90,0)))))))</f>
        <v/>
      </c>
      <c r="H166" s="24">
        <f>IF(Y115=38,92,IF(Y115=39,95,IF(Y115=40,97,IF(Y115=41,99,IF(Y115=42,102,IF(Y115=43,104,IF(Y115=44,107,0)))))))</f>
        <v/>
      </c>
      <c r="I166" s="24">
        <f>IF(Y115=45,109,IF(Y115=46,111,IF(Y115=47,114,IF(Y115=48,116,IF(Y115=49,118,IF(Y115&gt;=50,120,0))))))</f>
        <v/>
      </c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5" t="n"/>
      <c r="Z166" s="25" t="n"/>
      <c r="AA166" s="24" t="n"/>
      <c r="AB166" s="24" t="n"/>
      <c r="AC166" s="24" t="n"/>
      <c r="AD166" s="24" t="n"/>
      <c r="AE166" s="24" t="n"/>
      <c r="AF166" s="24" t="n"/>
      <c r="AG166" s="24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</row>
    <row r="167" ht="12.75" customHeight="1" s="110">
      <c r="B167" s="24" t="n"/>
      <c r="C167" s="26" t="inlineStr">
        <is>
          <t>Si</t>
        </is>
      </c>
      <c r="D167" s="24">
        <f>IF(Y120&lt;10,999,IF(Y120=10,30,IF(Y120=11,31,IF(Y120=12,32,IF(Y120=13,33,IF(Y120=14,34,IF(Y120=15,35,0)))))))</f>
        <v/>
      </c>
      <c r="E167" s="24">
        <f>IF(Y120=16,37,IF(Y120=17,38,IF(Y120=18,39,IF(Y120=19,40,IF(Y120=20,41,IF(Y120=21,42,IF(Y120=22,43,0)))))))</f>
        <v/>
      </c>
      <c r="F167" s="24">
        <f>IF(Y120=23,45,IF(Y120=24,46,IF(Y120=25,47,IF(Y120=26,48,IF(Y120=27,49,IF(Y120=28,50,IF(Y120=29,52,0)))))))</f>
        <v/>
      </c>
      <c r="G167" s="24">
        <f>IF(Y120=30,53,IF(Y120=31,54,IF(Y120=32,55,IF(Y120=33,56,IF(Y120=34,57,IF(Y120=35,58,IF(Y120=36,60,0)))))))</f>
        <v/>
      </c>
      <c r="H167" s="24">
        <f>IF(Y120=37,61,IF(Y120=38,62,IF(Y120=39,63,IF(Y120=40,64,IF(Y120=41,65,IF(Y120=42,67,IF(Y120=43,68,0)))))))</f>
        <v/>
      </c>
      <c r="I167" s="24">
        <f>IF(Y120=44,69,IF(Y120=45,70,IF(Y120=46,71,IF(Y120=47,72,IF(Y120=48,73,IF(Y120=49,75,IF(Y120=50,76,0)))))))</f>
        <v/>
      </c>
      <c r="J167" s="24">
        <f>IF(Y120=51,77,IF(Y120=52,78,IF(Y120=53,79,IF(Y120=54,80,IF(Y120=55,82,IF(Y120=56,83,IF(Y120=57,84,0)))))))</f>
        <v/>
      </c>
      <c r="K167" s="24">
        <f>IF(Y120=58,85,IF(Y120=59,86,IF(Y120=60,87,IF(Y120=61,88,IF(Y120=62,90,IF(Y120=63,91,IF(Y120=64,92,0)))))))</f>
        <v/>
      </c>
      <c r="L167" s="24">
        <f>IF(Y120=65,93,IF(Y120=66,94,IF(Y120=67,95,IF(Y120=68,97,IF(Y120=69,98,IF(Y120&gt;69,99,0))))))</f>
        <v/>
      </c>
      <c r="M167" s="24" t="n"/>
      <c r="N167" s="24" t="n"/>
      <c r="O167" s="24">
        <f>SUM(D167:N167)</f>
        <v/>
      </c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5" t="n"/>
      <c r="AA167" s="24" t="n"/>
      <c r="AB167" s="24" t="n"/>
      <c r="AC167" s="24" t="n"/>
      <c r="AD167" s="24" t="n"/>
      <c r="AE167" s="24" t="n"/>
      <c r="AF167" s="24" t="n"/>
      <c r="AG167" s="24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</row>
    <row r="168" ht="12.75" customHeight="1" s="110"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5" t="n"/>
      <c r="AA168" s="24" t="n"/>
      <c r="AB168" s="24" t="n"/>
      <c r="AC168" s="24" t="n"/>
      <c r="AD168" s="24" t="n"/>
      <c r="AE168" s="24" t="n"/>
      <c r="AF168" s="24" t="n"/>
      <c r="AG168" s="24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</row>
    <row r="169" ht="12.75" customHeight="1" s="110"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5" t="n"/>
      <c r="AA169" s="24" t="n"/>
      <c r="AB169" s="24" t="n"/>
      <c r="AC169" s="24" t="n"/>
      <c r="AD169" s="24" t="n"/>
      <c r="AE169" s="24" t="n"/>
      <c r="AF169" s="24" t="n"/>
      <c r="AG169" s="24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</row>
    <row r="170" ht="12.75" customHeight="1" s="110">
      <c r="B170" s="24" t="n"/>
      <c r="C170" s="24" t="inlineStr">
        <is>
          <t>Anx</t>
        </is>
      </c>
      <c r="D170" s="24">
        <f>IF(Y123=0,30,IF(Y123=1,35,IF(Y123=2,37,IF(Y123=3,39,IF(Y123=4,41,IF(Y123=5,43,IF(Y123=6,45,0)))))))</f>
        <v/>
      </c>
      <c r="E170" s="24">
        <f>IF(Y123=7,47,IF(Y123=8,50,IF(Y123=9,52,IF(Y123=10,54,IF(Y123=11,56,IF(Y123=12,58,IF(Y123=13,60,0)))))))</f>
        <v/>
      </c>
      <c r="F170" s="24">
        <f>IF(Y123=14,62,IF(Y123=15,65,IF(Y123=16,67,IF(Y123=17,69,IF(Y123=18,71,IF(Y123=19,73,IF(Y123=20,75,0)))))))</f>
        <v/>
      </c>
      <c r="G170" s="24">
        <f>IF(Y123=21,77,IF(Y123=22,80,IF(Y123&gt;=23,82,0)))</f>
        <v/>
      </c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5" t="n"/>
      <c r="AA170" s="24" t="n"/>
      <c r="AB170" s="24" t="n"/>
      <c r="AC170" s="24" t="n"/>
      <c r="AD170" s="24" t="n"/>
      <c r="AE170" s="24" t="n"/>
      <c r="AF170" s="24" t="n"/>
      <c r="AG170" s="24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</row>
    <row r="171" ht="12.75" customHeight="1" s="110">
      <c r="B171" s="24" t="n"/>
      <c r="C171" s="24" t="inlineStr">
        <is>
          <t>Frs</t>
        </is>
      </c>
      <c r="D171" s="24">
        <f>IF(Y125=0,36,IF(Y125=1,38,IF(Y125=2,41,IF(Y125=3,43,IF(Y125=4,46,IF(Y125=5,48,IF(Y125=6,51,0)))))))</f>
        <v/>
      </c>
      <c r="E171" s="24">
        <f>IF(Y125=7,54,IF(Y125=8,56,IF(Y125=9,59,IF(Y125=10,61,IF(Y125=11,64,IF(Y125=12,66,IF(Y125=13,69,0)))))))</f>
        <v/>
      </c>
      <c r="F171" s="24">
        <f>IF(Y125=14,72,IF(Y125=15,74,IF(Y125=16,77,IF(Y125=17,79,IF(Y125=18,82,IF(Y125=19,84,IF(Y125=20,87,0)))))))</f>
        <v/>
      </c>
      <c r="G171" s="24">
        <f>IF(Y125=21,90,IF(Y125=22,92,IF(Y125=23,95,0)))</f>
        <v/>
      </c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5" t="n"/>
      <c r="AA171" s="24" t="n"/>
      <c r="AB171" s="24" t="n"/>
      <c r="AC171" s="24" t="n"/>
      <c r="AD171" s="24" t="n"/>
      <c r="AE171" s="24" t="n"/>
      <c r="AF171" s="24" t="n"/>
      <c r="AG171" s="24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</row>
    <row r="172" ht="12.75" customHeight="1" s="110">
      <c r="B172" s="24" t="n"/>
      <c r="C172" s="24" t="inlineStr">
        <is>
          <t>Obs</t>
        </is>
      </c>
      <c r="D172" s="24">
        <f>IF(Y126=0,33,IF(Y126=1,36,IF(Y126=2,39,IF(Y126=3,42,IF(Y126=4,44,IF(Y126=5,47,IF(Y126=6,50,0)))))))</f>
        <v/>
      </c>
      <c r="E172" s="24">
        <f>IF(Y126=7,53,IF(Y126=8,56,IF(Y126=9,58,IF(Y126=10,61,IF(Y126=11,64,IF(Y126=12,67,IF(Y126=13,69,0)))))))</f>
        <v/>
      </c>
      <c r="F172" s="24">
        <f>IF(Y126=14,72,IF(Y126=15,75,IF(Y126=16,78,IF(Y126&gt;16,79,0))))</f>
        <v/>
      </c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5" t="n"/>
      <c r="AA172" s="24" t="n"/>
      <c r="AB172" s="24" t="n"/>
      <c r="AC172" s="24" t="n"/>
      <c r="AD172" s="24" t="n"/>
      <c r="AE172" s="24" t="n"/>
      <c r="AF172" s="24" t="n"/>
      <c r="AG172" s="24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</row>
    <row r="173" ht="12.75" customHeight="1" s="110">
      <c r="B173" s="24" t="n"/>
      <c r="C173" s="24" t="inlineStr">
        <is>
          <t>Dep</t>
        </is>
      </c>
      <c r="D173" s="24">
        <f>IF(Y128=0,35,IF(Y128=1,36,IF(Y128=2,38,IF(Y128=3,40,IF(Y128=4,42,IF(Y128=5,44,IF(Y128=6,46,0)))))))</f>
        <v/>
      </c>
      <c r="E173" s="24">
        <f>IF(Y128=7,48,IF(Y128=8,50,IF(Y128=9,52,IF(Y128=10,53,IF(Y128=11,55,IF(Y128=12,57,IF(Y128=13,59,0)))))))</f>
        <v/>
      </c>
      <c r="F173" s="24">
        <f>IF(Y128=14,61,IF(Y128=15,63,IF(Y128=16,65,IF(Y128=17,67,IF(Y128=18,68,IF(Y128=19,70,IF(Y128=20,72,0)))))))</f>
        <v/>
      </c>
      <c r="G173" s="24">
        <f>IF(Y128=21,74,IF(Y128=22,76,IF(Y128=23,78,IF(Y128=24,80,IF(Y128=25,82,IF(Y128=26,83,IF(Y128=27,85,0)))))))</f>
        <v/>
      </c>
      <c r="H173" s="24">
        <f>IF(Y128=28,87,IF(Y128=29,89,IF(Y128=30,91,IF(Y128=31,93,IF(Y128=32,95,IF(Y128=33,97,IF(Y128&gt;33,97,0)))))))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5" t="n"/>
      <c r="AA173" s="24" t="n"/>
      <c r="AB173" s="24" t="n"/>
      <c r="AC173" s="24" t="n"/>
      <c r="AD173" s="24" t="n"/>
      <c r="AE173" s="24" t="n"/>
      <c r="AF173" s="24" t="n"/>
      <c r="AG173" s="24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</row>
    <row r="174" ht="12.75" customHeight="1" s="110">
      <c r="B174" s="24" t="n"/>
      <c r="C174" s="24" t="inlineStr">
        <is>
          <t>Hea</t>
        </is>
      </c>
      <c r="D174" s="24">
        <f>IF(Y131=0,35,IF(Y131=1,37,IF(Y131=2,39,IF(Y131=3,41,IF(Y131=4,42,IF(Y131=5,44,IF(Y131=6,46,0)))))))</f>
        <v/>
      </c>
      <c r="E174" s="24">
        <f>IF(Y131=7,48,IF(Y131=8,50,IF(Y131=9,52,IF(Y131=10,54,IF(Y131=11,56,IF(Y131=12,58,IF(Y131=13,60,0)))))))</f>
        <v/>
      </c>
      <c r="F174" s="24">
        <f>IF(Y131=14,62,IF(Y131=15,64,IF(Y131=16,66,IF(Y131=17,68,IF(Y131=18,70,IF(Y131=19,72,IF(Y131=20,74,0)))))))</f>
        <v/>
      </c>
      <c r="G174" s="24">
        <f>IF(Y131=21,76,IF(Y131=22,78,IF(Y131=23,80,IF(Y131=24,82,IF(Y131=25,84,IF(Y131=26,86,IF(Y131=27,88,0)))))))</f>
        <v/>
      </c>
      <c r="H174" s="24">
        <f>IF(Y131=28,90,IF(Y131=29,92,IF(Y131=30,94,IF(Y131=31,96,IF(Y131=32,98,IF(Y131=33,100,IF(Y131=34,102,0)))))))</f>
        <v/>
      </c>
      <c r="I174" s="24">
        <f>IF(Y131=35,104,IF(Y131=36,106,IF(Y131&gt;36,107,0)))</f>
        <v/>
      </c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5" t="n"/>
      <c r="AA174" s="24" t="n"/>
      <c r="AB174" s="24" t="n"/>
      <c r="AC174" s="24" t="n"/>
      <c r="AD174" s="24" t="n"/>
      <c r="AE174" s="24" t="n"/>
      <c r="AF174" s="24" t="n"/>
      <c r="AG174" s="24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</row>
    <row r="175" ht="12.75" customHeight="1" s="110">
      <c r="B175" s="24" t="n"/>
      <c r="C175" s="24" t="inlineStr">
        <is>
          <t>Biz</t>
        </is>
      </c>
      <c r="D175" s="24">
        <f>IF(Y133=0,39,IF(Y133=1,42,IF(Y133=2,45,IF(Y133=3,48,IF(Y133=4,51,IF(Y133=5,54,IF(Y133=6,57,0)))))))</f>
        <v/>
      </c>
      <c r="E175" s="24">
        <f>IF(Y133=7,60,IF(Y133=8,63,IF(Y133=9,66,IF(Y133=10,69,IF(Y133=11,72,IF(Y133=12,75,IF(Y133=13,78,0)))))))</f>
        <v/>
      </c>
      <c r="F175" s="24">
        <f>IF(Y133=14,81,IF(Y133=15,84,IF(Y133=16,87,IF(Y133=17,90,IF(Y133=18,92,IF(Y133=19,95,IF(Y133=20,98,0)))))))</f>
        <v/>
      </c>
      <c r="G175" s="24">
        <f>IF(Y133=21,101,IF(Y133=22,104,IF(Y133=23,107,IF(Y133&gt;23,108,0))))</f>
        <v/>
      </c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5" t="n"/>
      <c r="AA175" s="24" t="n"/>
      <c r="AB175" s="24" t="n"/>
      <c r="AC175" s="24" t="n"/>
      <c r="AD175" s="24" t="n"/>
      <c r="AE175" s="24" t="n"/>
      <c r="AF175" s="24" t="n"/>
      <c r="AG175" s="24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</row>
    <row r="176" ht="12.75" customHeight="1" s="110">
      <c r="B176" s="24" t="n"/>
      <c r="C176" s="24" t="inlineStr">
        <is>
          <t>Ang</t>
        </is>
      </c>
      <c r="D176" s="24">
        <f>IF(Y134=0,31,IF(Y134=1,34,IF(Y134=2,37,IF(Y134=3,40,IF(Y134=4,43,IF(Y134=5,46,IF(Y134=6,49,0)))))))</f>
        <v/>
      </c>
      <c r="E176" s="24">
        <f>IF(Y134=7,51,IF(Y134=8,54,IF(Y134=9,57,IF(Y134=10,60,IF(Y134=11,63,IF(Y134=12,66,IF(Y134=13,69,0)))))))</f>
        <v/>
      </c>
      <c r="F176" s="24">
        <f>IF(Y134=14,72,IF(Y134=15,75,IF(Y134=16,78,IF(Y134&gt;16,79,0))))</f>
        <v/>
      </c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5" t="n"/>
      <c r="AA176" s="24" t="n"/>
      <c r="AB176" s="24" t="n"/>
      <c r="AC176" s="24" t="n"/>
      <c r="AD176" s="24" t="n"/>
      <c r="AE176" s="24" t="n"/>
      <c r="AF176" s="24" t="n"/>
      <c r="AG176" s="24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</row>
    <row r="177" ht="12.75" customHeight="1" s="110">
      <c r="B177" s="24" t="n"/>
      <c r="C177" s="24" t="inlineStr">
        <is>
          <t>Cyn</t>
        </is>
      </c>
      <c r="D177" s="24">
        <f>IF(Y136&lt;1,30,IF(Y136=1,31,IF(Y136=2,33,IF(Y136=3,35,IF(Y136=4,37,IF(Y136=5,39,IF(Y136=6,41,0)))))))</f>
        <v/>
      </c>
      <c r="E177" s="24">
        <f>IF(Y136=7,43,IF(Y136=8,45,IF(Y136=9,47,IF(Y136=10,48,IF(Y136=11,50,IF(Y136=12,52,IF(Y136=13,54,0)))))))</f>
        <v/>
      </c>
      <c r="F177" s="24">
        <f>IF(Y136=14,56,IF(Y136=15,58,IF(Y136=16,60,IF(Y136=17,62,IF(Y136=18,64,IF(Y136=19,66,IF(Y136=20,67,0)))))))</f>
        <v/>
      </c>
      <c r="G177" s="24">
        <f>IF(Y136=21,69,IF(Y136=22,71,IF(Y136=23,73,IF(Y136&gt;23,74,0))))</f>
        <v/>
      </c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5" t="n"/>
      <c r="AA177" s="24" t="n"/>
      <c r="AB177" s="24" t="n"/>
      <c r="AC177" s="24" t="n"/>
      <c r="AD177" s="24" t="n"/>
      <c r="AE177" s="24" t="n"/>
      <c r="AF177" s="24" t="n"/>
      <c r="AG177" s="24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</row>
    <row r="178" ht="12.75" customHeight="1" s="110">
      <c r="B178" s="24" t="n"/>
      <c r="C178" s="24" t="inlineStr">
        <is>
          <t>Asp</t>
        </is>
      </c>
      <c r="D178" s="24">
        <f>IF(Y138&lt;1,999,IF(Y138=1,30,IF(Y138=2,31,IF(Y138=3,33,IF(Y138=4,36,IF(Y138=5,38,IF(Y138=6,41,0)))))))</f>
        <v/>
      </c>
      <c r="E178" s="24">
        <f>IF(Y138=7,43,IF(Y138=8,46,IF(138=9,48,IF(Y138=10,50,IF(Y138=11,53,IF(Y138=12,55,IF(Y138=13,58,0)))))))</f>
        <v/>
      </c>
      <c r="F178" s="24">
        <f>IF(Y138=14,60,IF(Y138=15,63,IF(Y138=16,65,IF(Y138=17,68,IF(Y138=18,70,IF(Y138=19,72,IF(Y138=20,75,0)))))))</f>
        <v/>
      </c>
      <c r="G178" s="24">
        <f>IF(Y138=21,77,IF(Y138=22,80,IF(Y138&gt;22,81,0)))</f>
        <v/>
      </c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5" t="n"/>
      <c r="AA178" s="24" t="n"/>
      <c r="AB178" s="24" t="n"/>
      <c r="AC178" s="24" t="n"/>
      <c r="AD178" s="24" t="n"/>
      <c r="AE178" s="24" t="n"/>
      <c r="AF178" s="24" t="n"/>
      <c r="AG178" s="24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</row>
    <row r="179" ht="12.75" customHeight="1" s="110">
      <c r="B179" s="24" t="n"/>
      <c r="C179" s="24" t="inlineStr">
        <is>
          <t>Tpa</t>
        </is>
      </c>
      <c r="D179" s="24">
        <f>IF(Y140&lt;2,999,IF(Y140=2,31,IF(Y140=3,32,IF(Y140=4,35,IF(Y140=5,38,IF(Y140=6,41,IF(Y140=7,44,0)))))))</f>
        <v/>
      </c>
      <c r="E179" s="24">
        <f>IF(Y140=8,46,IF(Y140=9,49,IF(Y140=10,52,IF(Y140=11,55,IF(Y140=12,58,IF(Y140=13,61,IF(Y140=14,64,0)))))))</f>
        <v/>
      </c>
      <c r="F179" s="24">
        <f>IF(Y140=15,67,IF(Y140=16,70,IF(Y140=17,73,IF(Y140=18,76,IF(Y140=19,79,IF(Y140&gt;19,80,0))))))</f>
        <v/>
      </c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5" t="n"/>
      <c r="AA179" s="24" t="n"/>
      <c r="AB179" s="24" t="n"/>
      <c r="AC179" s="24" t="n"/>
      <c r="AD179" s="24" t="n"/>
      <c r="AE179" s="24" t="n"/>
      <c r="AF179" s="24" t="n"/>
      <c r="AG179" s="24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</row>
    <row r="180" ht="12.75" customHeight="1" s="110">
      <c r="B180" s="24" t="n"/>
      <c r="C180" s="24" t="inlineStr">
        <is>
          <t>Lse</t>
        </is>
      </c>
      <c r="D180" s="24">
        <f>IF(Y142=0,33,IF(Y142=1,35,IF(Y142=2,38,IF(Y142=3,40,IF(Y142=4,43,IF(Y142=5,45,IF(Y142=6,48,0)))))))</f>
        <v/>
      </c>
      <c r="E180" s="24">
        <f>IF(Y142=7,50,IF(Y142=8,53,IF(Y142=9,55,IF(Y142=10,58,IF(Y142=11,60,IF(Y142=12,63,IF(Y142=13,65,0)))))))</f>
        <v/>
      </c>
      <c r="F180" s="24">
        <f>IF(Y142=14,68,IF(Y142=15,70,IF(Y142=16,72,IF(Y142=17,75,IF(Y142=18,77,IF(Y142=19,80,IF(Y142=20,82,0)))))))</f>
        <v/>
      </c>
      <c r="G180" s="24">
        <f>IF(Y142=21,85,IF(Y142=22,87,IF(Y142=23,90,IF(Y142=24,92,IF(Y142&gt;=25,93,0)))))</f>
        <v/>
      </c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5" t="n"/>
      <c r="AA180" s="24" t="n"/>
      <c r="AB180" s="24" t="n"/>
      <c r="AC180" s="24" t="n"/>
      <c r="AD180" s="24" t="n"/>
      <c r="AE180" s="24" t="n"/>
      <c r="AF180" s="24" t="n"/>
      <c r="AG180" s="24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</row>
    <row r="181" ht="12.75" customHeight="1" s="110">
      <c r="B181" s="24" t="n"/>
      <c r="C181" s="24" t="inlineStr">
        <is>
          <t>Sod</t>
        </is>
      </c>
      <c r="D181" s="24">
        <f>IF(Y144=0,34,IF(Y144=1,36,IF(Y144=2,38,IF(Y144=3,40,IF(Y144=4,42,IF(Y144=5,44,IF(Y144=6,46,0)))))))</f>
        <v/>
      </c>
      <c r="E181" s="24">
        <f>IF(Y144=7,49,IF(Y144=8,51,IF(Y144=9,53,IF(Y144=10,55,IF(Y144=11,57,IF(Y144=12,59,IF(Y144=13,62,0)))))))</f>
        <v/>
      </c>
      <c r="F181" s="24">
        <f>IF(Y144=14,64,IF(Y144=15,66,IF(Y144=16,68,IF(Y144=17,70,IF(Y144=18,72,IF(Y144=19,74,IF(Y144=20,77,0)))))))</f>
        <v/>
      </c>
      <c r="G181" s="24">
        <f>IF(Y144=21,79,IF(Y144=22,81,IF(Y144=23,83,IF(Y144=24,85,IF(Y144&gt;24,86,0)))))</f>
        <v/>
      </c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5" t="n"/>
      <c r="AA181" s="24" t="n"/>
      <c r="AB181" s="24" t="n"/>
      <c r="AC181" s="24" t="n"/>
      <c r="AD181" s="24" t="n"/>
      <c r="AE181" s="24" t="n"/>
      <c r="AF181" s="24" t="n"/>
      <c r="AG181" s="24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</row>
    <row r="182" ht="12.75" customHeight="1" s="110">
      <c r="B182" s="24" t="n"/>
      <c r="C182" s="24" t="inlineStr">
        <is>
          <t>Fam</t>
        </is>
      </c>
      <c r="D182" s="24">
        <f>IF(Y146=0,35,IF(Y146=1,38,IF(Y146=2,40,IF(Y146=3,43,IF(Y146=4,45,IF(Y146=5,47,IF(Y146=6,50,0)))))))</f>
        <v/>
      </c>
      <c r="E182" s="24">
        <f>IF(Y146=7,52,IF(Y146=8,55,IF(Y146=9,57,IF(Y146=10,59,IF(Y146=11,62,IF(Y146=12,64,IF(Y146=13,67,0)))))))</f>
        <v/>
      </c>
      <c r="F182" s="24">
        <f>IF(Y146=14,69,IF(Y146=15,71,IF(Y146=16,74,IF(Y146=17,76,IF(Y146=18,79,IF(Y146=19,81,IF(Y146=20,83,0)))))))</f>
        <v/>
      </c>
      <c r="G182" s="24">
        <f>IF(Y146=21,86,IF(Y146=22,88,IF(Y146=23,91,IF(Y146=24,93,IF(Y146=25,95,IF(Y146&gt;25,96,0))))))</f>
        <v/>
      </c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5" t="n"/>
      <c r="AA182" s="24" t="n"/>
      <c r="AB182" s="24" t="n"/>
      <c r="AC182" s="24" t="n"/>
      <c r="AD182" s="24" t="n"/>
      <c r="AE182" s="24" t="n"/>
      <c r="AF182" s="24" t="n"/>
      <c r="AG182" s="24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</row>
    <row r="183" ht="12.75" customHeight="1" s="110">
      <c r="B183" s="24" t="n"/>
      <c r="C183" s="24" t="inlineStr">
        <is>
          <t>Wrk</t>
        </is>
      </c>
      <c r="D183" s="24">
        <f>IF(Y148=0,34,IF(Y148=1,36,IF(Y148=2,37,IF(Y148=3,39,IF(Y148=4,41,IF(Y148=5,42,IF(Y148=6,44,0)))))))</f>
        <v/>
      </c>
      <c r="E183" s="24">
        <f>IF(Y148=7,46,IF(Y148=8,47,IF(Y148=9,49,IF(Y148=10,51,IF(Y148=11,52,IF(Y148=12,54,IF(Y148=13,56,0)))))))</f>
        <v/>
      </c>
      <c r="F183" s="24">
        <f>IF(Y148=14,57,IF(Y148=15,59,IF(Y148=16,61,IF(Y148=17,62,IF(Y148=18,64,IF(Y148=19,66,IF(Y148=20,67,0)))))))</f>
        <v/>
      </c>
      <c r="G183" s="24">
        <f>IF(Y148=21,69,IF(Y148=22,71,IF(Y148=23,72,IF(Y148=24,74,IF(Y148=25,76,IF(Y148=26,77,IF(Y148=27,79,0)))))))</f>
        <v/>
      </c>
      <c r="H183" s="24">
        <f>IF(Y148=28,81,IF(Y148=29,82,IF(Y148=30,84,IF(Y148=31,86,IF(Y148=32,87,IF(Y148=33,89,IF(Y148&gt;33,90,0)))))))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5" t="n"/>
      <c r="AA183" s="24" t="n"/>
      <c r="AB183" s="24" t="n"/>
      <c r="AC183" s="24" t="n"/>
      <c r="AD183" s="24" t="n"/>
      <c r="AE183" s="24" t="n"/>
      <c r="AF183" s="24" t="n"/>
      <c r="AG183" s="24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</row>
    <row r="184" ht="12.75" customHeight="1" s="110">
      <c r="B184" s="24" t="n"/>
      <c r="C184" s="24" t="inlineStr">
        <is>
          <t>Trt</t>
        </is>
      </c>
      <c r="D184" s="24">
        <f>IF(Y150=0,34,IF(Y150=1,36,IF(Y150=2,39,IF(Y150=3,41,IF(Y150=4,43,IF(Y150=5,45,IF(Y150=6,47,0)))))))</f>
        <v/>
      </c>
      <c r="E184" s="24">
        <f>IF(Y150=7,49,IF(Y150=8,51,IF(Y150=9,53,IF(Y150=10,55,IF(Y150=11,57,IF(Y150=12,59,IF(Y150=13,61,0)))))))</f>
        <v/>
      </c>
      <c r="F184" s="24">
        <f>IF(Y150=14,63,IF(Y150=15,66,IF(Y150=16,68,IF(Y150=17,70,IF(Y150=18,72,IF(Y150=19,74,IF(Y150=20,76,0)))))))</f>
        <v/>
      </c>
      <c r="G184" s="24">
        <f>IF(Y150=21,78,IF(Y150=22,80,IF(Y150=23,82,IF(Y150=24,84,IF(Y150=25,86,IF(Y150=26,88,IF(Y150&gt;26,89,0)))))))</f>
        <v/>
      </c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5" t="n"/>
      <c r="AA184" s="24" t="n"/>
      <c r="AB184" s="24" t="n"/>
      <c r="AC184" s="24" t="n"/>
      <c r="AD184" s="24" t="n"/>
      <c r="AE184" s="24" t="n"/>
      <c r="AF184" s="24" t="n"/>
      <c r="AG184" s="24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</row>
    <row r="185" ht="12.75" customHeight="1" s="110"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5" t="n"/>
      <c r="AA185" s="24" t="n"/>
      <c r="AB185" s="24" t="n"/>
      <c r="AC185" s="24" t="n"/>
      <c r="AD185" s="24" t="n"/>
      <c r="AE185" s="24" t="n"/>
      <c r="AF185" s="24" t="n"/>
      <c r="AG185" s="24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</row>
    <row r="186" ht="12.75" customHeight="1" s="110">
      <c r="B186" s="24" t="n"/>
      <c r="C186" s="24" t="inlineStr">
        <is>
          <t>Normas de interpretación</t>
        </is>
      </c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5" t="n"/>
      <c r="AA186" s="24" t="n"/>
      <c r="AB186" s="24" t="n"/>
      <c r="AC186" s="24" t="n"/>
      <c r="AD186" s="24" t="n"/>
      <c r="AE186" s="24" t="n"/>
      <c r="AF186" s="24" t="n"/>
      <c r="AG186" s="24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</row>
    <row r="187" ht="12.75" customHeight="1" s="110">
      <c r="B187" s="24" t="n"/>
      <c r="C187" s="24" t="inlineStr">
        <is>
          <t>Escalas de validación</t>
        </is>
      </c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5" t="n"/>
      <c r="AA187" s="24" t="n"/>
      <c r="AB187" s="24" t="n"/>
      <c r="AC187" s="24" t="n"/>
      <c r="AD187" s="24" t="n"/>
      <c r="AE187" s="24" t="n"/>
      <c r="AF187" s="24" t="n"/>
      <c r="AG187" s="24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</row>
    <row r="188" ht="12.75" customHeight="1" s="110">
      <c r="B188" s="24" t="n"/>
      <c r="C188" s="26" t="inlineStr">
        <is>
          <t>L</t>
        </is>
      </c>
      <c r="D188" s="24">
        <f>IF(Z73&lt;50,"Intento de buscar conseguir algo más. Todas las respuestas son verdaderas.",IF(Z73=50,"Puntuación dentro de la media",IF(Z73=51,"Puntuación dentro de la media.",IF(Z73=52,"Puntuación dentro de la media.",IF(Z73=53,"Puntuación dentro de la media.",IF(Z73=54,"Puntuació dentro de la media.",0))))))</f>
        <v/>
      </c>
      <c r="E188" s="24">
        <f>IF(Z73=55,"Puntuación dentro de la media.",IF(Z73=56,"Puntuación dentro de la media",IF(Z73=57,"Puntuación dentro de la media.",IF(Z73=58,"Puntuación dentro de la media.",IF(Z73=59,"Puntuación dentro de la media.",IF(Z73=60,"Cuadro defensivo.",IF(Z73=61,"Cuadro defensivo.",0)))))))</f>
        <v/>
      </c>
      <c r="F188" s="24">
        <f>IF(Z73=62,"Cuadro defensivo.",IF(Z73=63,"Cuadro defensivo.",IF(Z73=64,"Cuadro defensivo.",IF(Z73=65,"Cuadro defensivo.",IF(Z73=66,"Cuadro defensivo.",IF(Z73=67,"Cuadro defensivo.",IF(Z73=68,"Cuadro defensivo.",0)))))))</f>
        <v/>
      </c>
      <c r="G188" s="24">
        <f>IF(Z73=69,"Cuadro defensivo.",IF(Z73=70,"Respuestas al azar.",IF(Z73=71,"Respuestas al azar.",IF(Z73=72,"Respuestas al azar.",IF(Z73=73,"Respuestas al azar.",IF(Z73=74,"Respuestas al azar.",IF(Z73=75,"Respuestas al azar.",0)))))))</f>
        <v/>
      </c>
      <c r="H188" s="24">
        <f>IF(Z73=76,"Cuadro defensivo.",IF(Z73=77,"Respuestas al azar.",IF(Z73=78,"Respuestas al azar.",IF(Z73=79,"Respuestas al azar.",IF(Z73&gt;=80,"Fingir un buen ajuste.",0)))))</f>
        <v/>
      </c>
      <c r="I188" s="24">
        <f>IF(D188&lt;&gt;0,D188,IF(E188&lt;&gt;0,E188,IF(F188&lt;&gt;0,F188,IF(G188&lt;&gt;0,G188,IF(H188&lt;&gt;0,H188,0)))))</f>
        <v/>
      </c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  <c r="AC188" s="24" t="n"/>
      <c r="AD188" s="24" t="n"/>
      <c r="AE188" s="24" t="n"/>
      <c r="AF188" s="24" t="n"/>
      <c r="AG188" s="24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</row>
    <row r="189" ht="12.75" customHeight="1" s="110">
      <c r="B189" s="24" t="n"/>
      <c r="C189" s="26" t="inlineStr">
        <is>
          <t>F</t>
        </is>
      </c>
      <c r="D189" s="24">
        <f>IF(Z77&lt;50,"Conformidad, posible mala imagen.",IF(Z77=50,"Puntuación dentro de la media",IF(Z77=51,"Puntuación dentro de la media.",IF(Z77=51,"Puntuaciones dentro de la media.",IF(Z77=52,"Puntuaciones dentro de la media.",IF(Z77=53,"Puntuaciones dentro de la media.",IF(Z77=54,"Puntuaciones dentro de la media.",0)))))))</f>
        <v/>
      </c>
      <c r="E189" s="24">
        <f>IF(Z77=55,"Puntuación dentro de la media.",IF(Z77=56,"Puntuación dentro de la media",IF(Z77=57,"Puntuación dentro de la media.",IF(Z77=58,"Puntuaciones dentro de la media.",IF(Z77=59,"Puntuaciones dentro de la media.",IF(Z77=60,"Puntuaciones en la media.",IF(Z77=61,"Puntuaciones en la media.",0)))))))</f>
        <v/>
      </c>
      <c r="F189" s="24">
        <f>IF(Z77=62,"Puntuaciones en la media.",IF(Z77=63,"Puntuaciones en la media.",IF(Z77=64,"Puntuaciones en la media.",IF(Z77=65,"Simulación. Procesos psicóticos.",IF(Z77=66,"Simulación. Procesos psicóticos.",IF(Z77=67,"Simulación. Procesos psicóticos.",IF(Z77=68,"Simulación. Procesos psicóticos.",0)))))))</f>
        <v/>
      </c>
      <c r="G189" s="24">
        <f>IF(Z77=69,"Simulación. Procesos psicóticos.",IF(Z77=70,"Simulación. Procesos psicóticos.",IF(Z77=71,"Simulación. Procesos psicóticos.",IF(Z77=72,"Simulación. Procesos psicóticos.",IF(Z77=73,"Simulación. Procesos psicóticos.",IF(Z77=74,"Simulación. Procesos psicóticos.",IF(Z77=75,"Simulación. Procesos psicóticos.",0)))))))</f>
        <v/>
      </c>
      <c r="H189" s="24">
        <f>IF(Z77=76,"Simulación. Procesos psicóticos.",IF(Z77=77,"Simulación. Procesos psicóticos.",IF(Z77=78,"Simulación. Procesos psicóticos.",IF(Z77=79,"Simulación. Procesos psicóticos.",IF(Z77=80,"Simulación. Procesos psicóticos. Responde falso a todas las respuestas. Distorsión negativa.",0)))))</f>
        <v/>
      </c>
      <c r="I189" s="24">
        <f>IF(Z77=81,"Simulación. Procesos psicóticos. Responde falso a todas las respuestas. Distorsión negativa.",IF(Z77=82,"Simulación. Procesos psicóticos. Responde falso a todas las respuestas. Distorsión negativa.",IF(Z77=83,"Simulación. Procesos psicóticos. Responde falso a todas las respuestas. Distorsión negativa.",IF(Z77=84,"Simulación. Procesos psicóticos. Responde falso a todas las respuestas. Distorsión negativa.",0))))</f>
        <v/>
      </c>
      <c r="J189" s="24">
        <f>IF(Z77=85,"Simulación. Procesos psicóticos. Responde falso a todas las respuestas. Distorsión negativa.",IF(Z77=86," Simulación. Procesos psicóticos. Responde falso a todas las respuestas. Distorsión negativa",IF(Z77=87," Simulación. Procesos psicóticos. Responde falso a todas las respuestas. Distorsión negativa.",IF(Z77=88,"Simulación. Procesos psicóticos. Responde falso a todas las respuestas. Distorsión negativa.",0))))</f>
        <v/>
      </c>
      <c r="K189" s="24">
        <f>IF(Z77=89,"Simulación. Procesos psicóticos. Responde falso a todas las respuestas. Distorsión negativa.",IF(Z77=91,"Simulación. Procesos psicóticos. Responde falso a todas las respuestas. Distorsión negativa.",IF(Z77=92,"Simulación. Procesos psicóticos. Responde falso a todas las respuestas. Distorsión negativa.",0)))</f>
        <v/>
      </c>
      <c r="L189" s="24">
        <f>IF(Z77=93,"Simulación. Procesos psicóticos. Responde falso a todas las respuestas. Distorsión negativa.",IF(Z77=94,"Simulación. Procesos psicóticos. Responde falso a todas las respuestas. Distorsión negativa.",IF(Z77=95,"Simulación. Procesos psicóticos. Responde falso a todas las respuestas. Distorsión negativa.",IF(Z77=96,"Simulación. Procesos psicóticos. Responde falso a todas las respuestas. Distorsión negativa.",0))))</f>
        <v/>
      </c>
      <c r="M189" s="24">
        <f>IF(Z77=97,"Simulación. Procesos psicóticos. Responde falso a todas las respuestas. Distorsión negativa.",IF(Z77=98,"Simulación. Procesos psicóticos. Responde falso a todas las respuestas. Distorsión negativa.",IF(Z77=99,"Simulación. Procesos psicóticos. Responde falso a todas las respuestas. Distorsión negativa.",IF(Z77=100,"Simulación. Procesos psicóticos. Responde falso a todas las respuestas. Distorsión negativa.",IF(Z77&gt;100,"Respuestas al azar.  Contesta todo como verdadero.",0)))))</f>
        <v/>
      </c>
      <c r="N189" s="24">
        <f>IF(D189&lt;&gt;0,D189,IF(E189&lt;&gt;0,E189,IF(F189&lt;&gt;0,F189,IF(G189&lt;&gt;0,G189,IF(H189&lt;&gt;0,H189,0)))))</f>
        <v/>
      </c>
      <c r="O189" s="24">
        <f>IF(I189&lt;&gt;0,I189,IF(J189&lt;&gt;0,J189,IF(K189&lt;&gt;0,K189,IF(L189&lt;&gt;0,L189,IF(M189&lt;&gt;0,M189,0)))))</f>
        <v/>
      </c>
      <c r="P189" s="24">
        <f>IF(N189&lt;&gt;0,N189,IF(O189&lt;&gt;0,O189,0))</f>
        <v/>
      </c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  <c r="AC189" s="24" t="n"/>
      <c r="AD189" s="24" t="n"/>
      <c r="AE189" s="24" t="n"/>
      <c r="AF189" s="24" t="n"/>
      <c r="AG189" s="24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</row>
    <row r="190" ht="12.75" customHeight="1" s="110">
      <c r="B190" s="24" t="n"/>
      <c r="C190" s="26" t="inlineStr">
        <is>
          <t>K</t>
        </is>
      </c>
      <c r="D190" s="24">
        <f>IF(Z79&lt;50,"Simulación. Exageración de sus propios desajustes. Contesta a todo como falso.",IF(Z79=50,"Autoevaluación equilibrada",IF(Z79=51,"Autoevaluación equilibrada.",IF(Z79=51,"Autoevaluación equilibrada.",IF(Z79=52,"Autoevaluación equilibrada.",IF(Z79=53,"Autoevaluación equilibrada.",IF(Z79=54,"Autoevaluación equilibrada.",0)))))))</f>
        <v/>
      </c>
      <c r="E190" s="24">
        <f>IF(Z79=55,"Autoevaluación equilibrada.",IF(Z79=56,"Autoevaluación equilibrada",IF(Z79=57,"Autoevaluación equilibrada.",IF(Z79=58,"Autoevaluación equilibrada.",IF(Z79=59,"Autoevaluación equilibrada.",IF(Z79=60,"Defensividad moderada. Negación del problema",IF(Z79=61,"Defensividad moderada. Negación del problema.",0)))))))</f>
        <v/>
      </c>
      <c r="F190" s="24">
        <f>IF(Z79=62,"Defensividad moderada. Negación del problema.",IF(Z79=63,"Defensividad moderada. Negación del problema.",IF(Z79=64,"Defensividad moderada. Negación del problema.",IF(Z79=65,"Defensividad moderada. Negación del problema.",IF(Z79=66,"Defensividad moderada. Negación del problema.",IF(Z79=67,"Defensividad moderada. Negación del problema.",IF(Z79=68,"Defensividad moderada. Negación del problema.",0)))))))</f>
        <v/>
      </c>
      <c r="G190" s="24">
        <f>IF(Z79=69,"Defensividad moderada. Negación del problema.",IF(Z79=70,"Defensividad moderada. Negación del problema.",IF(Z79&gt;70,"Fingir buena imagen. Marcada defensividad. Contestar a todo como falso.",0)))</f>
        <v/>
      </c>
      <c r="H190" s="24">
        <f>IF(D190&lt;&gt;0,D190,IF(E190&lt;&gt;0,E190,IF(F190&lt;&gt;0,F190,IF(G190&lt;&gt;0,G190,0))))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  <c r="AE190" s="24" t="n"/>
      <c r="AF190" s="24" t="n"/>
      <c r="AG190" s="24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</row>
    <row r="191" ht="12.75" customHeight="1" s="110">
      <c r="B191" s="24" t="n"/>
      <c r="C191" s="24" t="inlineStr">
        <is>
          <t>Interpretación clínica</t>
        </is>
      </c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  <c r="AE191" s="24" t="n"/>
      <c r="AF191" s="24" t="n"/>
      <c r="AG191" s="24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</row>
    <row r="192" ht="12.75" customHeight="1" s="110">
      <c r="B192" s="24" t="n"/>
      <c r="C192" s="24" t="inlineStr">
        <is>
          <t>Escalas de validación</t>
        </is>
      </c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  <c r="AC192" s="24" t="n"/>
      <c r="AD192" s="24" t="n"/>
      <c r="AE192" s="24" t="n"/>
      <c r="AF192" s="24" t="n"/>
      <c r="AG192" s="24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</row>
    <row r="193" ht="12.75" customHeight="1" s="110">
      <c r="B193" s="24" t="n"/>
      <c r="C193" s="26" t="inlineStr">
        <is>
          <t>L</t>
        </is>
      </c>
      <c r="D193" s="24">
        <f>IF(Z73&lt;50,"Autoconfiado e independiente. Crítico.",IF(Z73=50,"Conforme con su propia imagen",IF(Z73=51,"Conforme con su propia imagen.",IF(Z73=51,"Conforme con su propia imagen.",IF(Z73=52,"Conforme con su propia imagen.",IF(Z73=53,"Conforme con su propia imagen.",IF(Z73=54,"Conforme con su propia imagen.",0)))))))</f>
        <v/>
      </c>
      <c r="E193" s="24">
        <f>IF(Z73=55,"Conforme con su propia imagen.",IF(Z73=56,"Conforme con su propia imagen",IF(Z73=57,"Conforme con su propia imagen.",IF(Z73=58,"Conforme con su propia imagen.",IF(Z73=59,"Conforme con su propia imagen.",IF(Z73=60,"Psicorrígidoy convencional. Moralista. ",IF(Z73=61,"Psicorrígido y convencional. Moralista. ",0)))))))</f>
        <v/>
      </c>
      <c r="F193" s="24">
        <f>IF(Z73=62,"Psicorrígido y convencional. Moralista.",IF(Z73=63,"Psicorrígido y convencional. Moralista.",IF(Z73=64,"Psicorrígido y convencional. Moralista.",IF(Z73=65,"Psicorrígido y convencional. Moralista.",IF(Z73=66,"Psicorrígido y convencional. Moralista.",IF(Z73=67,"Psicorrígido y convencional. Moralista",IF(Z73=68,"Psicorrígido y convencional. Moralista.",0)))))))</f>
        <v/>
      </c>
      <c r="G193" s="24">
        <f>IF(Z73=69,"Psicorrígido y convencional. Moralista.",IF(Z73=70,"Estado de confusión. Estilo represivo. Falta de comprensión.",IF(Z73=71,"Estado de confusión. Estilo represivo. Falta de comprensión.",IF(Z73=72,"Estado de confusión. Estilo represivo. Falta de comprensión.",IF(Z73=73,"Estado de confusión. Estilo represivo. Falta de comprensión.",IF(Z73=74,"Estado de confusión. Estilo represivo. Falta de comprensión.",IF(Z73=75,"Estado de confusión. Estilo represivo. Falta de comprensión.",0)))))))</f>
        <v/>
      </c>
      <c r="H193" s="24">
        <f>IF(Z73=76,"Estado de confusión. Estilo represivo. Falta de comprensión.",IF(Z73=77,"Estado de confusión. Estilo represivo. Falta de comprensión.",IF(Z73=78,"Estado de confusión. Estilo represivo. Falta de comprensión.",IF(Z73=79,"Estado de confusión. Estilo represivo. Falta de comprensión.",IF(Z73&gt;=80,"Prueba de resistencia o ingenuidad.",0)))))</f>
        <v/>
      </c>
      <c r="I193" s="24">
        <f>IF(D193&lt;&gt;0,D193,IF(E193&lt;&gt;0,E193,IF(F193&lt;&gt;0,F193,IF(G193&lt;&gt;0,G193,IF(H193&lt;&gt;0,H193,0)))))</f>
        <v/>
      </c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  <c r="AC193" s="24" t="n"/>
      <c r="AD193" s="24" t="n"/>
      <c r="AE193" s="24" t="n"/>
      <c r="AF193" s="24" t="n"/>
      <c r="AG193" s="24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</row>
    <row r="194" ht="12.75" customHeight="1" s="110">
      <c r="B194" s="24" t="n"/>
      <c r="C194" s="26" t="inlineStr">
        <is>
          <t>F</t>
        </is>
      </c>
      <c r="D194" s="24">
        <f>IF(Z77&lt;50,"Convencionalidad. Sinceridad. Conformidad social.",IF(Z77=50,"Buen funcionamiento. Típicas respuestas.",IF(Z77=51,"Buen funcionamiento. Típicas respuestas.",IF(Z77=51,"Buen funcionamiento. Típicas respuestas.",IF(Z77=52,"Buen funcionamiento. Típicas respuestas.",IF(Z77=53,"Buen funcionamiento. Típicas respuestas.",IF(Z77=54,"Buen funcionamiento. Típicas respuestas.",0)))))))</f>
        <v/>
      </c>
      <c r="E194" s="24">
        <f>IF(Z77=55,"Buen funcionamiento. Típicas respuestas.",IF(Z77=56,"Buen funcionamiento. Típicas respuestas.",IF(Z77=57,"Buen funcionamiento. Típicas respuestas.",IF(Z77=58,"Buen funcionamiento. Típicas respuestas.",IF(Z77=59,"Buen funcionamiento. Típicas respuestas.",IF(Z77=60,"Problemas en un área particular (trabajo, salud, sexo, etc.).",IF(Z77=61,"Problemas en un área particular (trabajo, salud, sexo, etc.).",0)))))))</f>
        <v/>
      </c>
      <c r="F194" s="24">
        <f>IF(Z77=62,"Problemas en un área en particular (trabajo, salud, sexo, etc.).",IF(Z77=63,"Problemas en un área en particular (trabajo, salud, sexo, etc.).",IF(Z77=64,"Problemas en un área en particular (trabajo, salud, sexo, etc.).",IF(Z77=65,"Psicótico?. Neurótico severo. problemas de sociabilidad. Propenso a cambios de humor. Cambiante, impredecible.",IF(Z77=66,"Psicótico?. Neurótico severo. problemas de sociabilidad. Propenso a cambios de humor. Cambiante, impredecible.",IF(Z77=67,"Psicótico?. Neurótico severo. problemas de sociabilidad. Propenso a cambios de humor. Cambiante, impredecible.",IF(Z77=68,"Psicótico?. Neurótico severo. problemas de sociabilidad. Propenso a cambios de humor. Cambiante, impredecible.",0)))))))</f>
        <v/>
      </c>
      <c r="G194" s="24">
        <f>IF(Z77=69,"Psicótico?. Neurótico severo. problemas de sociabilidad. Propenso a cambios de humor. Cambiante, impredecible.",IF(Z77=70,"Psicótico?. Neurótico severo. problemas de sociabilidad. Propenso a cambios de humor. Cambiante, impredecible.",IF(Z77=71,"Psicótico?. Neurótico severo. problemas de sociabilidad. Propenso a cambios de humor. Cambiante, impredecible.",IF(Z77=72,"Psicótico?. Neurótico severo. problemas de sociabilidad. Propenso a cambios de humor. Cambiante, impredecible.",IF(Z77=73,"Psicótico?. Neurótico severo. problemas de sociabilidad. Propenso a cambios de humor. Cambiante, impredecible.",IF(Z77=74,"Psicótico?. Neurótico severo. problemas de sociabilidad. Propenso a cambios de humor. Cambiante, impredecible.",IF(Z77=75,"Psicótico?. Neurótico severo. problemas de sociabilidad. Propenso a cambios de humor. Cambiante, impredecible.",0)))))))</f>
        <v/>
      </c>
      <c r="H194" s="24">
        <f>IF(Z77=76,"Psicótico?. Neurótico severo. problemas de sociabilidad. Propenso a cambios de humor. Cambiante, impredecible",IF(Z77=77,"Psicótico?. Neurótico severo. problemas de sociabilidad. Propenso a cambios de humor. Cambiante, impredecible.",IF(Z77=78,"Psicótico?. Neurótico severo. problemas de sociabilidad. Propenso a cambios de humor. Cambiante, impredecible.",IF(Z77=79,"Psicótico?. Neurótico severo. problemas de sociabilidad. Propenso a cambios de humor. Cambiante, impredecible.",IF(Z77=80,"Reafirmación. Deseabilidad social. Confuso.",IF(Z77=81,"Reafirmación. Deseabilidad social. Confuso",IF(Z77=82,"Reafirmación. Deseabilidad social. Confuso",0)))))))</f>
        <v/>
      </c>
      <c r="I194" s="24">
        <f>IF(Z77=83,"Reafirmación. Deseabilidad social. Confuso",IF(Z77=84,"Reafirmación. Deseabilidad social. Confuso.",IF(Z77=85,"Reafirmación. Deseabilidad social. Confuso.",IF(Z77=86,"Reafirmación. Deseabilidad social. Confuso.",IF(Z77=87,"Reafirmación. Deseabilidad social. Confuso.",IF(Z77=88,"Reafirmación. Deseabilidad social.Confuso",IF(Z77=89,"Reafirmación. Deseabilidad social. Confuso",0)))))))</f>
        <v/>
      </c>
      <c r="J194" s="24">
        <f>IF(Z77=90,"Reafirmación. Deseabilidad social. Consufo",IF(Z77=91,"Reafirmación. Deseabilidad social. Confuso.",IF(Z77=92,"Reafirmación. Deseabilidad social. Confuso.",IF(Z77=93,"Reafirmación. Deseabilidad social. Confuso.",IF(Z77=94,"Reafirmación. Deseabilidad social. Confuso.",IF(Z77=95,"Reafirmación. Deseabilidad social. Confuso",IF(Z77=96,"Reafirmación. Deseabilidad social. Confuso",0)))))))</f>
        <v/>
      </c>
      <c r="K194" s="24">
        <f>IF(Z77=97,"Reafirmación. Deseabilidad social. Confuso",IF(Z77=98,"Reafirmación. Deseabilidad social.Confuso.",IF(Z77=99,"Reafirmación. Deseabilidad social. Confuso.",IF(Z77=100,"Reafirmación. Deseabilidad social. Confuso.",IF(Z77&gt;100,"Actitud no cooperativa. Fingir mala imagen de sí mismo. Paciente psiquiátrico que puede estar desorientado, confuso, con un comportamiento claramente psicótico.",0)))))</f>
        <v/>
      </c>
      <c r="L194" s="24">
        <f>IF(D194&lt;&gt;0,D194,IF(E194&lt;&gt;0,E194,0))</f>
        <v/>
      </c>
      <c r="M194" s="24">
        <f>IF(F194&lt;&gt;0,F194,IF(G194&lt;&gt;0,G194,IF(H194&lt;&gt;0,H194,IF(I194&lt;&gt;0,I194,IF(J194&lt;&gt;0,J194,IF(K194&lt;&gt;0,K194,0))))))</f>
        <v/>
      </c>
      <c r="N194" s="24">
        <f>IF(L194&lt;&gt;0,L194,IF(M194&lt;&gt;0,M194,0))</f>
        <v/>
      </c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  <c r="AC194" s="24" t="n"/>
      <c r="AD194" s="24" t="n"/>
      <c r="AE194" s="24" t="n"/>
      <c r="AF194" s="24" t="n"/>
      <c r="AG194" s="24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</row>
    <row r="195" ht="12.75" customHeight="1" s="110">
      <c r="B195" s="24" t="n"/>
      <c r="C195" s="26" t="inlineStr">
        <is>
          <t>K</t>
        </is>
      </c>
      <c r="D195" s="24">
        <f>IF(Z79&lt;50,"Confuso. Autocrítico. Conformista. Introvertido. Cínico, suspicaz.",IF(Z79=50,"Muy ajustado. Independiente. Inteligente. Entusiasta. Intereses amplios.",IF(Z79=51,"Muy ajustado. Independiente. Inteligente. Entusiasta. Intereses amplios.",IF(Z79=51,"Muy ajustado. Independiente. Inteligente. Entusiasta. Intereses amplios.",IF(Z79=52,"Muy ajustado. Independiente. Inteligente. Entusiasta. Intereses amplios.",IF(Z79=53,"Muy ajustado. Independiente. Inteligente. Entusiasta. Intereses amplios.",IF(Z79=54,"Muy ajustado. Independiente. Inteligente. Entusiasta. Intereses amplios.",0)))))))</f>
        <v/>
      </c>
      <c r="E195" s="24">
        <f>IF(Z79=55,"Muy ajustado. Independiente. Inteligente. Entusiasta. Intereses amplios.",IF(Z79=56,"Muy ajustado. Independiente. Inteligente. Entusiasta. Intereses amplios",IF(Z79=57,"Muy ajustado. Independiente. Inteligente. Entusiasta. Intereses amplios.",IF(Z79=58,"Muy ajustado. Independiente. Inteligente. Entusiasta. Intereses amplios.",IF(Z79=59,"Muy ajustado. Independiente. Inteligente. Entusiasta. Intereses amplios.",IF(Z79=60,"Clínicamente defensivo. Todo lo niega. Intolerante.",IF(Z79=61,"Clínicamente defensivo. Todo lo niega. Intolerante.",0)))))))</f>
        <v/>
      </c>
      <c r="F195" s="24">
        <f>IF(Z79=62,"Clínicamente defensivo. Todo lo niega. Intolerante.",IF(Z79=63,"Clínicamente defensivo. Todo lo niega. Intolerante.",IF(Z79=64,"Clínicamente defensivo. Todo lo niega. Intolerante.",IF(Z79=65,"Clínicamente defensivo. Todo lo niega. Intolerante.",IF(Z79=66,"Clínicamente defensivo. Todo lo niega. Intolerante.",IF(Z79=67,"Clínicamente defensivo. Todo lo niega. Intolerante.",IF(Z79=68,"Clínicamente defensivo. Todo lo niega. Intolerante.",0)))))))</f>
        <v/>
      </c>
      <c r="G195" s="24">
        <f>IF(Z79=69,"Clínicamente defensivo. Todo lo niega. Intolerante.",IF(Z79=70,"Clínicamente defensivo. Todo lo niega. Intolerante.",IF(Z79&gt;70,"Implicación emocional acusada. Inhibición, timidez. Desconfianza. Ausencia de comprensión.",0)))</f>
        <v/>
      </c>
      <c r="H195" s="24">
        <f>IF(D195&lt;&gt;0,D195,IF(E195&lt;&gt;0,E195,IF(F195&lt;&gt;0,F195,IF(G195&lt;&gt;0,G195,0))))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  <c r="AE195" s="24" t="n"/>
      <c r="AF195" s="24" t="n"/>
      <c r="AG195" s="24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</row>
    <row r="196" ht="12.75" customHeight="1" s="110">
      <c r="B196" s="24" t="n"/>
      <c r="C196" s="26" t="inlineStr">
        <is>
          <t>Escalas clínicas básicas</t>
        </is>
      </c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s="24" t="n"/>
      <c r="AB196" s="24" t="n"/>
      <c r="AC196" s="24" t="n"/>
      <c r="AD196" s="24" t="n"/>
      <c r="AE196" s="24" t="n"/>
      <c r="AF196" s="24" t="n"/>
      <c r="AG196" s="24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</row>
    <row r="197" ht="12.75" customHeight="1" s="110">
      <c r="B197" s="24" t="n"/>
      <c r="C197" s="26" t="inlineStr">
        <is>
          <t>Hs</t>
        </is>
      </c>
      <c r="D197" s="24">
        <f>IF(Z82&lt;40,"Ausencia de preocupaciones somáticas. Enérgico. Optimista. Intuitivo.",IF(Z82=40,"Puntuación dentro de la media. Abierto, equilibrado, realista.",IF(Z82=41,"Puntuación dentro de la media. Abierto, equilibrado, realista",IF(Z82=42,"Puntuaciones dentro de la media. Abierto, equilibrado, realista",IF(Z82=43,"Puntuaciones dentro de la media. Abierto, equilibrado, realista",IF(Z82=44,"Puntuaciones dentro de la media. Abierto, equilibrado, realista",IF(Z82=45,"Puntuaciones dentro de la media. Abierto, equilibrado, realista",0)))))))</f>
        <v/>
      </c>
      <c r="E197" s="24">
        <f>IF(Z82=46,"Puntuación dentro de la media. Abierto, equilibrado, realista.",IF(Z82=47,"Puntuación dentro de la media. Abierto, equilibrado, realista.",IF(Z82=48,"Puntuación dentro de la media. Abierto, equilibrado, realista.",IF(Z82=49,"Puntuaciones dentro de la media. Abierto, equilibrado, realista.",IF(Z82=50,"Puntuaciones dentro de la media. Abierto, equilibrado, realista.",IF(Z82=51,"Puntuaciones dentro de la media. Abierto, equilibrado, realista.",IF(Z82=52,"Puntuaciones dentro de la media. Abierto, equilibrado, realista.",0)))))))</f>
        <v/>
      </c>
      <c r="F197" s="24">
        <f>IF(Z82=53,"Puntuaciones dentro de la media. Abierto, equilibrado, realista.",IF(Z82=54,"Puntuaciones dentro de la media. Abierto, equilibrado, realista.",IF(Z82=55,"Puntuaciones dentro de la media. Abierto, equilibrado, realista.",IF(Z82=56,"Puntuaciones dentro de la media. Abierto, equilibrado, realista.",IF(Z82=57,"Puntuaciones dentro de la media. Abierto, equilibrado, realista.",IF(Z82=58,"Puntuaciones dentro de la media. Abierto, equilibrado, realista.",IF(Z82=59,"Puntuaciones dentro de la media. Abierto, equilibrado, realista.",0)))))))</f>
        <v/>
      </c>
      <c r="G197" s="24">
        <f>IF(Z82=60,"Preocupaciones somáticas. Exageración de problemas físicos. Trastornos del sueño. Falta de energía. Exigente, Insatisfecho. Quejas variables y multiples.",IF(Z82=61,"Preocupaciones somáticas. Exageración de problemas físicos. Trastornos del sueño. Falta de energía. Exigente, Insatisfecho. Quejas variables y multiples.",IF(Z82=62,"Preocupaciones somáticas. Exageración de problemas físicos. Trastornos del sueño. Falta de energía. Exigente, Insatisfecho. Quejas variables y multiples.",IF(Z82=63,"Preocupaciones somáticas. Exageración de problemas físicos. Trastornos del sueño. Falta de energía. Exigente, Insatisfecho. Quejas variables y multiples.",IF(Z82=64,"Preocupaciones somáticas. Exageración de problemas físicos. Trastornos del sueño. Falta de energía. Exigente, Insatisfecho. Quejas variables y multiples.",0)))))</f>
        <v/>
      </c>
      <c r="H197" s="24">
        <f>IF(Z82=65,"Preocupaciones somáticas. Exageración de problemas físicos. Trastornos del sueño. Falta de energía. Exigente, Insatisfecho. Quejas variables y multiples.",IF(Z82=66,"Preocupaciones somáticas. Exageración de problemas físicos. Trastornos del sueño. Falta de energía. Exigente, Insatisfecho. Quejas variables y multiples.",IF(Z82=67,"Preocupaciones somáticas. Exageración de problemas físicos. Trastornos del sueño. Falta de energía. Exigente, Insatisfecho. Quejas variables y multiples.",IF(Z82=68,"Preocupaciones somáticas. Exageración de problemas físicos. Trastornos del sueño. Falta de energía. Exigente, Insatisfecho. Quejas variables y multiples.",IF(Z82=69,"Preocupaciones somáticas. Exageración de problemas físicos. Trastornos del sueño. Falta de energía. Exigente, Insatisfecho. Quejas variables y multiples.",0)))))</f>
        <v/>
      </c>
      <c r="I197" s="24">
        <f>IF(Z82=70,"Preocupaciones somáticas. Exageración de problemas físicos. Trastornos del sueño. Falta de energía. Exigente, Insatisfecho. Quejas variables y multiples.",IF(Z82=71,"Preocupaciones somáticas. Exageración de problemas físicos. Trastornos del sueño. Falta de energía. Exigente, Insatisfecho. Quejas variables y multiples.",IF(Z82=72,"Preocupaciones somáticas. Exageración de problemas físicos. Trastornos del sueño. Falta de energía. Exigente, Insatisfecho. Quejas variables y multiples.",IF(Z82=73,"Preocupaciones somáticas. Exageración de problemas físicos. Trastornos del sueño. Falta de energía. Exigente, Insatisfecho. Quejas variables y multiples.",IF(Z82=74,"Preocupaciones somáticas. Exageración de problemas físicos. Trastornos del sueño. Falta de energía. Exigente, Insatisfecho. Quejas variables y multiples.",0)))))</f>
        <v/>
      </c>
      <c r="J197" s="24">
        <f>IF(Z82=75,"Preocupaciones somáticas. Exageración de problemas físicos. Trastornos del sueño. Falta de energía. Exigente, Insatisfecho. Quejas variables y multiples.",IF(Z82=76,"Preocupaciones somáticas. Exageración de problemas físicos. Trastornos del sueño. Falta de energía. Exigente, Insatisfecho. Quejas variables y multiples.",IF(Z82=77,"Preocupaciones somáticas. Exageración de problemas físicos. Trastornos del sueño. Falta de energía. Exigente, Insatisfecho. Quejas variables y multiples.",IF(Z82=78,"Preocupaciones somáticas. Exageración de problemas físicos. Trastornos del sueño. Falta de energía. Exigente, Insatisfecho. Quejas variables y multiples.",IF(Z82=79,"Preocupaciones somáticas. Exageración de problemas físicos. Trastornos del sueño. Falta de energía. Exigente, Insatisfecho. Quejas variables y multiples.",0)))))</f>
        <v/>
      </c>
      <c r="K197" s="24">
        <f>IF(Z82=80,"Preocupaciones somáticas. Exageración de problemas físicos. Trastornos del sueño. Falta de energía. Exigente, Insatisfecho. Quejas variables y multiples.",IF(Z82&gt;80,"Relacionado con problemas somáticos graves. Ilusiones esquizoides, extrañas ilusiones corporales o somáticas. Constreñido, inmovilizado por múltiples síntomas y quejas.",0))</f>
        <v/>
      </c>
      <c r="L197" s="24">
        <f>IF(D197&lt;&gt;0,D197,IF(E197&lt;&gt;0,E197,IF(F197&lt;&gt;0,F197,0)))</f>
        <v/>
      </c>
      <c r="M197" s="24">
        <f>IF(G197&lt;&gt;0,G197,IF(H197&lt;&gt;0,H197,IF(I197&lt;&gt;0,I197,IF(J197&lt;&gt;0,J197,IF(K197&lt;&gt;0,K197,0)))))</f>
        <v/>
      </c>
      <c r="N197" s="24">
        <f>IF(L197&lt;&gt;0,L197,IF(M197&lt;&gt;0,M197,0))</f>
        <v/>
      </c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  <c r="AE197" s="24" t="n"/>
      <c r="AF197" s="24" t="n"/>
      <c r="AG197" s="24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</row>
    <row r="198" ht="12.75" customHeight="1" s="110">
      <c r="B198" s="24" t="n"/>
      <c r="C198" s="26" t="inlineStr">
        <is>
          <t>D</t>
        </is>
      </c>
      <c r="D198" s="24">
        <f>IF(Z86&lt;40,"Alegre; de buen humor. Seguro de sí mismo. Ausencia de inhibición, impulsivo, a veces descontrolado. Socialmente extrovertido. Ausencia de desórdenes emocionales.",IF(Z86=40,"Puntuaciones medias. Conforme consigo mismo. Estable, ajustado, realista.",IF(Z86=41,"Puntuaciones medias. Conforme consigo mismo. Estable, ajustado, realista",IF(Z86=42,"Puntuaciones medias. Conforme consigo mismo. Estable, ajustado, realista",IF(Z86=43,"Puntuaciones medias. Conforme consigo mismo. Estable, ajustado, realista",IF(Z86=44,"Puntuaciones medias. Conforme consigo mismo. Estable, ajustado, realista",IF(Z86=45,"Puntuaciones medias. Conforme consigo mismo. Estable, ajustado, realista",0)))))))</f>
        <v/>
      </c>
      <c r="E198" s="24">
        <f>IF(Z86=46,"Puntuaciones medias. Conforme consigo mismo. Estable, ajustado, realista.",IF(Z86=47,"Puntuaciones medias. Conforme consigo mismo. Estable, ajustado, realista.",IF(Z86=48,"Puntuaciones medias. Conforme consigo mismo. Estable, ajustado, realista",IF(Z86=49,"Puntuaciones medias. Conforme consigo mismo. Estable, ajustado, realista",IF(Z86=50,"Puntuaciones medias. Conforme consigo mismo. Estable, ajustado, realista",IF(Z86=51,"Puntuaciones medias. Conforme consigo mismo. Estable, ajustado, realista",IF(Z86=52,"Puntuaciones medias. Conforme consigo mismo. Estable, ajustado, realista",0)))))))</f>
        <v/>
      </c>
      <c r="F198" s="24">
        <f>IF(Z86=53,"Puntuaciones medias. Conforme consigo mismo. Estable, ajustado, realista.",IF(Z86=54,"Puntuaciones medias. Conforme consigo mismo. Estable, ajustado, realista.",IF(Z86=55,"Puntuaciones medias. Conforme consigo mismo. Estable, ajustado, realista",IF(Z86=56,"Puntuaciones medias. Conforme consigo mismo. Estable, ajustado, realista",IF(Z86=57,"Puntuaciones medias. Conforme consigo mismo. Estable, ajustado, realista",IF(Z86=58,"Puntuaciones medias. Conforme consigo mismo. Estable, ajustado, realista",IF(Z86=59,"Puntuaciones medias. Conforme consigo mismo. Estable, ajustado, realista",0)))))))</f>
        <v/>
      </c>
      <c r="G198" s="24">
        <f>IF(Z86=60,"Depresión moderada. Insatisfecho con la vida. Preocupado, ausencia de energía. Quejas somáticas, problemas de sueño. Reservado. Falta de confianza en sí mismo. Disfórico.",IF(Z86=61,"Depresión moderada. Insatisfecho con la vida. Preocupado, ausencia de energía. Quejas somáticas, problemas de sueño. Reservado. Falta de confianza en sí mismo. Disfórico.",IF(Z86=62,"Depresión moderada. Insatisfecho con la vida. Preocupado, ausencia de energía. Quejas somáticas, problemas de sueño. Reservado. Falta de confianza en sí mismo. Disfórico.",IF(Z86=63,"Depresión moderada. Insatisfecho con la vida. Preocupado, ausencia de energía. Quejas somáticas, problemas de sueño. Reservado. Falta de confianza en sí mismo. Disfórico.",0))))</f>
        <v/>
      </c>
      <c r="H198" s="24">
        <f>IF(Z86=64,"Depresión moderada. Insatisfecho con la vida. Preocupado, ausencia de energía. Quejas somáticas, problemas de sueño. Reservado. Falta de confianza en sí mismo. Disfórico.",IF(Z86=65,"Depresión moderada. Insatisfecho con la vida. Preocupado, ausencia de energía. Quejas somáticas, problemas de sueño. Reservado. Falta de confianza en sí mismo. Disfórico.",IF(Z86=66,"Depresión moderada. Insatisfecho con la vida. Preocupado, ausencia de energía. Quejas somáticas, problemas de sueño. Reservado. Falta de confianza en sí mismo. Disfórico.",IF(Z86=67,"Depresión moderada. Insatisfecho con la vida. Preocupado, ausencia de energía. Quejas somáticas, problemas de sueño. Reservado. Falta de confianza en sí mismo. Disfórico.",0))))</f>
        <v/>
      </c>
      <c r="I198" s="24">
        <f>IF(Z86=68,"Depresión moderada. Insatisfecho con la vida. Preocupado, ausencia de energía. Quejas somáticas, problemas de sueño. Reservado. Falta de confianza en sí mismo. Disfórico.",IF(Z86=69,"Depresión moderada. Insatisfecho con la vida. Preocupado, ausencia de energía. Quejas somáticas, problemas de sueño. Reservado. Falta de confianza en sí mismo. Disfórico.",IF(Z86=70,"Depresión moderada. Insatisfecho con la vida. Preocupado, ausencia de energía. Quejas somáticas, problemas de sueño. Reservado. Falta de confianza en sí mismo. Disfórico.",IF(Z86&gt;70,"Depresión clínica severa. Reservado, afectado seriamente por los problemas, desesperado.Culpabilizado, con sentimientos de inutilidad e inadecuación. Preocupado por la muerte; ideación suicida. Abatido, lento en el pensar y en el actuar.",0))))</f>
        <v/>
      </c>
      <c r="J198" s="24">
        <f>IF(D198&lt;&gt;0,D198,IF(E198&lt;&gt;0,E198,IF(F198&lt;&gt;0,F198,IF(G198&lt;&gt;0,G198,IF(H198&lt;&gt;0,H198,IF(I198&lt;&gt;0,I198,0))))))</f>
        <v/>
      </c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  <c r="AC198" s="24" t="n"/>
      <c r="AD198" s="24" t="n"/>
      <c r="AE198" s="24" t="n"/>
      <c r="AF198" s="24" t="n"/>
      <c r="AG198" s="24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</row>
    <row r="199" ht="12.75" customHeight="1" s="110">
      <c r="B199" s="24" t="n"/>
      <c r="C199" s="26" t="inlineStr">
        <is>
          <t>Hy</t>
        </is>
      </c>
      <c r="D199" s="24">
        <f>IF(Z90&lt;40,"Reservado, conformista, convencional. Intereses reducidos. Socialmente aislado, reservado. Crítico, de mente cerrada.",IF(Z90=40,"Puntuaciones medias. Realista, abierto a los sentimientos. Lógico, sensato.",IF(Z90=41,"Puntuaciones medias. Realista, abierto a los sentimientos. Lógico, sensato",IF(Z90=42,"Puntuaciones medias. Realista, abierto a los sentimientos. Lógico, sensato",IF(Z90=43,"Puntuaciones medias. Realista, abierto a los sentimientos. Lógico, sensato",IF(Z90=44,"Puntuaciones medias. Realista, abierto a los sentimientos. Lógico, sensato",IF(Z90=45,"Puntuaciones medias. Realista, abierto a los sentimientos. Lógico, sensato",0)))))))</f>
        <v/>
      </c>
      <c r="E199" s="24">
        <f>IF(Z90=46,"Puntuaciones medias. Realista, abierto a los sentimientos. Lógico, sensato",IF(Z90=47,"Puntuaciones medias. Realista, abierto a los sentimientos. Lógico, sensato.",IF(Z90=48,"Puntuaciones medias. Realista, abierto a los sentimientos. Lógico, sensato",IF(Z90=49,"Puntuaciones medias. Realista, abierto a los sentimientos. Lógico, sensato",IF(Z90=50,"Puntuaciones medias. Realista, abierto a los sentimientos. Lógico, sensato",IF(Z90=51,"Puntuaciones medias. Realista, abierto a los sentimientos. Lógico, sensato",IF(Z90=52,"Puntuaciones medias. Realista, abierto a los sentimientos. Lógico, sensato",0)))))))</f>
        <v/>
      </c>
      <c r="F199" s="24">
        <f>IF(Z90=53,"Puntuaciones medias. Realista, abierto a los sentimientos. Lógico, sensato",IF(Z90=54,"Puntuaciones medias. Realista, abierto a los sentimientos. Lógico, sensato.",IF(Z90=55,"Puntuaciones medias. Realista, abierto a los sentimientos. Lógico, sensato",IF(Z90=56,"Puntuaciones medias. Realista, abierto a los sentimientos. Lógico, sensato",IF(Z90=57,"Puntuaciones medias. Realista, abierto a los sentimientos. Lógico, sensato",IF(Z90=58,"Puntuaciones medias. Realista, abierto a los sentimientos. Lógico, sensato",IF(Z90=59,"Puntuaciones medias. Realista, abierto a los sentimientos. Lógico, sensato",0)))))))</f>
        <v/>
      </c>
      <c r="G199" s="24">
        <f>IF(Z90=60,"Síntomas somáticos. Trastornos del sueño.Negativismo. Inmadurez. Exigente. Sugestionable.",IF(Z90=61,"Síntomas somáticos. Trastornos del sueño.Negativismo. Inmadurez. Exigente. Sugestionable.",IF(Z90=62,"Síntomas somáticos. Trastornos del sueño.Negativismo. Inmadurez. Exigente. Sugestionable",IF(Z90=63,"Síntomas somáticos. Trastornos del sueño.Negativismo. Inmadurez. Exigente. Sugestionable",IF(Z90=64,"Síntomas somáticos. Trastornos del sueño.Negatividad. Inmaduro. Exigente. Sugestionable",IF(Z90=65,"Síntomas somáticos. Trastornos del sueño.Negativismo. Inmadurez. Exigente. Sugestionable",IF(Z90=66,"Síntomas somáticos. Trastornos del sueño.Negativismo. Inmadurez. Exigente. Sugestionable",0)))))))</f>
        <v/>
      </c>
      <c r="H199" s="24">
        <f>IF(Z90=67,"Síntomas somáticos. Trastornos del sueño.Negativismo. Inmadurez. Exigente. Sugestionable.",IF(Z90=68,"Síntomas somáticos. Trastornos del sueño.Negativismo. Inmadurez. Exigente. Sugestionable.",IF(Z90=69,"Síntomas somáticos. Trastornos del sueño.Negativismo. Inmadurez. Exigente. Sugestionable",IF(Z90=70,"Síntomas somáticos. Trastornos del sueño.Negativismo. Inmadurez. Exigente. Sugestionable",IF(Z90=71,"Síntomas somáticos. Trastornos del sueño.Negatividad. Inmaduro. Exigente. Sugestionable",IF(Z90=71,"Síntomas somáticos. Trastornos del sueño.Negativismo. Inmadurez. Exigente. Sugestionable",IF(Z90=72,"Síntomas somáticos. Trastornos del sueño.Negativismo. Inmadurez. Exigente. Sugestionable",0)))))))</f>
        <v/>
      </c>
      <c r="I199" s="24">
        <f>IF(Z90=73,"Síntomas somáticos. Trastornos del sueño.Negativismo. Inmadurez. Exigente. Sugestionable.",IF(Z90=74,"Síntomas somáticos. Trastornos del sueño.Negativismo. Inmadurez. Exigente. Sugestionable.",IF(Z90=75,"Síntomas somáticos. Trastornos del sueño.Negativismo. Inmadurez. Exigente. Sugestionable",IF(Z90=76,"Síntomas somáticos. Trastornos del sueño.Negativismo. Inmadurez. Exigente. Sugestionable",IF(Z90=77,"Síntomas somáticos. Trastornos del sueño.Negativismo. Inmadurez. Exigente. Sugestionable",IF(Z90=78,"Síntomas somáticos. Trastornos del sueño.Negativismo. Inmadurez. Exigente. Sugestionable",IF(Z90=79,"Síntomas somáticos. Trastornos del sueño.Negativismo. Inmadurez. Exigente. Sugestionable",0)))))))</f>
        <v/>
      </c>
      <c r="J199" s="24">
        <f>IF(Z90=80,"Síntomas somáticos. Trastornos del sueño.Negativismo. Inmadurez. Exigente. Sugestionable.",IF(Z90&gt;80,"Considerar reacción de conversión. Elevada sugestionabilidad. Frecuente ansiedad y episodios de pánico. Desinhibición. Rabietas infantiles. Reacciona a la vergüenza desarrollando síntomas físicos.",0))</f>
        <v/>
      </c>
      <c r="K199" s="24">
        <f>IF(D199&lt;&gt;0,D199,IF(E199&lt;&gt;0,E199,IF(F199&lt;&gt;0,F199,IF(G199&lt;&gt;0,G199,IF(H199&lt;&gt;0,H199,IF(I199&lt;&gt;0,I199,IF(J199&lt;&gt;0,J199,0)))))))</f>
        <v/>
      </c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  <c r="AC199" s="24" t="n"/>
      <c r="AD199" s="24" t="n"/>
      <c r="AE199" s="24" t="n"/>
      <c r="AF199" s="24" t="n"/>
      <c r="AG199" s="24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</row>
    <row r="200" ht="12.75" customHeight="1" s="110">
      <c r="B200" s="24" t="n"/>
      <c r="C200" s="26" t="inlineStr">
        <is>
          <t>Pd</t>
        </is>
      </c>
      <c r="D200" s="24">
        <f>IF(Z93&lt;40,"Convencional y rígido. Aceptación de la autoridad. Sincero. Persona de confianza. Moralista, autocrítico. Excesivamente cumplidor.",IF(Z93=40,"Puntuaciones medias. Sincero, confiado. Responsable, persistente.",IF(Z93=41,"Puntuaciones medias. Sincero, confiado. Responsable, persistente",IF(Z93=42,"Puntuaciones medias. Sincero, confiado. Responsable, persistente",IF(Z93=43,"Puntuaciones medias. Sincero, confiado. Responsable, persistente",IF(Z93=44,"Puntuaciones medias. Sincero, confiado. Responsable, persistente",IF(Z93=45,"Puntuaciones medias. Sincero, confiado. Responsable, persistente",0)))))))</f>
        <v/>
      </c>
      <c r="E200" s="24">
        <f>IF(Z93=46,"Puntuaciones medias. Sincero, confiado. Responsable, persistente.",IF(Z93=47,"Puntuaciones medias. Sincero, confiado. Responsable, persistente.",IF(Z93=48,"Puntuaciones medias. Sincero, confiado. Responsable, persistente",IF(Z93=49,"Puntuaciones medias. Sincero, confiado. Responsable, persistente",IF(Z93=50,"Puntuaciones medias. Sincero, confiado. Responsable, persistente",IF(Z93=51,"Puntuaciones medias. Sincero, confiado. Responsable, persistente",IF(Z93=52,"Puntuaciones medias. Sincero, confiado. Responsable, persistente",0)))))))</f>
        <v/>
      </c>
      <c r="F200" s="24">
        <f>IF(Z93=53,"Puntuaciones medias. Sincero, confiado. responsable, persistente.",IF(Z93=54,"Puntuaciones medias. Sincero, confiado. Responsable, persistente.",IF(Z93=55,"Puntuaciones medias. Sincero, confiado. Responsable, persistente",IF(Z93=56,"Puntuaciones medias. Sincero, confiado. Responsable, persistente",IF(Z93=57,"Puntuaciones medias. Sincero, confiado. Responsable, persistente",IF(Z93=58,"Puntuaciones medias. Sincero, confiado. Responsable, persistente",IF(Z93=59,"Puntuaciones medias. Sincero, confiado. Responsable, persistente",0)))))))</f>
        <v/>
      </c>
      <c r="G200" s="24">
        <f>IF(Z93=60,"Puede tener problemas con la Ley y la autoridad. Puede consumir drogas. Problemas familiares. Impulsivo. Extrovertido. Relaciones superficiales. Enérgico.",IF(Z93=61,"Puede tener problemas con la Ley y la autoridad. Puede consumir drogas. Problemas familiares. Impulsivo. Extrovertido. Relaciones superficiales. Enérgico.",IF(Z93=62,"Puede tener problemas con la Ley y la autoridad. Puede consumir drogas. Problemas familiares. Impulsivo. Extrovertido. Relaciones superficiales. Enérgico.",IF(Z93=63,"Puede tener problemas con la Ley y la autoridad. Puede consumir drogas. Problemas familiares. Impulsivo. Extrovertido. Relaciones superficiales. Enérgico.",IF(Z93=64,"Puede tener problemas con la Ley y la autoridad. Puede consumir drogas. Problemas familiares. Impulsivo. Extrovertido. Relaciones superficiales. Enérgico.",0)))))</f>
        <v/>
      </c>
      <c r="H200" s="24">
        <f>IF(Z93=65,"Puede tener problemas con la Ley y la autoridad. Puede consumir drogas. Problemas familiares. Impulsivo. Extrovertido. Relaciones superficiales. Enérgico.",IF(Z93=66,"Puede tener problemas con la Ley y la autoridad. Puede consumir drogas. Problemas familiares. Impulsivo. Extrovertido. Relaciones superficiales. Enérgico.",IF(Z93=67,"Puede tener problemas con la Ley y la autoridad. Puede consumir drogas. Problemas familiares. Impulsivo. Extrovertido. Relaciones superficiales. Enérgico.",IF(Z93=68,"Puede tener problemas con la Ley y la autoridad. Puede consumir drogas. Problemas familiares. Impulsivo. Extrovertido. Relaciones superficiales. Enérgico.",IF(Z93=69,"Puede tener problemas con la Ley y la autoridad. Puede consumir drogas. Problemas familiares. Impulsivo. Extrovertido. Relaciones superficiales. Enérgico.",0)))))</f>
        <v/>
      </c>
      <c r="I200" s="24">
        <f>IF(Z93=70,"Puede tener problemas con la Ley y la autoridad. Puede consumir drogas. Problemas familiares. Impulsivo. Extrovertido. Relaciones superficiales. Enérgico.",IF(Z93=71,"Puede tener problemas con la Ley y la autoridad. Puede consumir drogas. Problemas familiares. Impulsivo. Extrovertido. Relaciones superficiales. Enérgico.",IF(Z93=72,"Puede tener problemas con la Ley y la autoridad. Puede consumir drogas. Problemas familiares. Impulsivo. Extrovertido. Relaciones superficiales. Enérgico.",IF(Z93=73,"Puede tener problemas con la Ley y la autoridad. Puede consumir drogas. Problemas familiares. Impulsivo. Extrovertido. Relaciones superficiales. Enérgico.",IF(Z93=74,"Puede tener problemas con la Ley y la autoridad. Puede consumir drogas. Problemas familiares. Impulsivo. Extrovertido. Relaciones superficiales. Enérgico.",0)))))</f>
        <v/>
      </c>
      <c r="J200" s="24">
        <f>IF(Z93=75,"Puede tener problemas con la Ley y la autoridad. Puede consumir drogas. Problemas familiares. Impulsivo. Extrovertido. Relaciones superficiales. Enérgico.",IF(Z93&gt;75,"Comportamiento asocial. Juicio pobre. Inestabilidad. Irresponsable. Egocéntrico e inmaduro. Atacante y agresivo.",0))</f>
        <v/>
      </c>
      <c r="K200" s="24">
        <f>IF(D200&lt;&gt;0,D200,IF(E200&lt;&gt;0,E200,IF(F200&lt;&gt;0,F200,IF(G200&lt;&gt;0,G200,IF(H200&lt;&gt;0,H200,IF(I200&lt;&gt;0,I200,IF(J200&lt;&gt;0,J200,0)))))))</f>
        <v/>
      </c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  <c r="AC200" s="24" t="n"/>
      <c r="AD200" s="24" t="n"/>
      <c r="AE200" s="24" t="n"/>
      <c r="AF200" s="24" t="n"/>
      <c r="AG200" s="24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</row>
    <row r="201" ht="12.75" customHeight="1" s="110">
      <c r="B201" s="24" t="n"/>
      <c r="C201" s="26" t="inlineStr">
        <is>
          <t>Mf</t>
        </is>
      </c>
      <c r="D201" s="24">
        <f>IF(Z97&lt;40,"Patrón tradicional de intereses masculinos. Declaraciones machistas, crudo, agresivo. Intereses reducidos, escasos. Imprudente. Orientado a la acción. Autoconfiado.",IF(Z97=40,"Puntuaciones medias. Práctico. Acomodaticio. Realista. Convencional.",IF(Z97=41,"Puntuaciones medias. Práctico. Acomodaticio. Realista. Convencional",IF(Z97=42,"Puntuaciones medias. Práctico. Acomodaticio. Realista. Convencional",IF(Z97=43,"Puntuaciones medias. Práctico. Acomodaticio. Realista. Convencional",IF(Z97=44,"Puntuaciones medias. Práctico. Acomodaticio. Realista. Convencional",IF(Z97=45,"Puntuaciones medias. Práctico. Acomodaticio. Realista. Convencional",0)))))))</f>
        <v/>
      </c>
      <c r="E201" s="24">
        <f>IF(Z97=46,"Puntuaciones medias. Práctico. Acomodaticio. Realista. Convencional.",IF(Z97=47,"Puntuaciones medias. Práctico. Acomodaticio. Realista. Convencional.",IF(Z97=48,"Puntuaciones medias. Práctico. Acomodaticio. Realista. Convencional",IF(Z97=49,"Puntuaciones medias. Práctico. Acomodaticio. Realista. Convencional",IF(Z97=50,"Puntuaciones medias. Práctico. Acomodaticio. Realista. Convencional",IF(Z97=51,"Puntuaciones medias. Práctico. Acomodaticio. Realista. Convencional",IF(Z97=52,"Puntuaciones medias. Práctico. Acomodaticio. Realista. Convencional",0)))))))</f>
        <v/>
      </c>
      <c r="F201" s="24">
        <f>IF(Z97=53,"Puntuaciones medias. Práctico. Acomodaticio. Realista. Convencional.",IF(Z97=54,"Puntuaciones medias. Práctico. Acomodaticio. Realista. Convencional.",IF(Z97=55,"Puntuaciones medias. Práctico. Acomodaticio. Realista. Convencional",IF(Z97=56,"Puntuaciones medias. Práctico. Acomodaticio. Realista. Convencional",IF(Z97=57,"Puntuaciones medias. Práctico. Acomodaticio. Realista. Convencional",IF(Z97=58,"Puntuaciones medias. Práctico. Acomodaticio. Realista. Convencional",IF(Z97=59,"Puntuaciones medias. Práctico. Acomodaticio. Realista. Convencional",0)))))))</f>
        <v/>
      </c>
      <c r="G201" s="24">
        <f>IF(Z97=60,"Conflictos sobre la identidad sexual. Ausencia de intereses masculinos tradicionales. Intereses intelectuales. Sensible, empático.",IF(Z97=61,"Conflictos sobre la identidad sexual.  Ausencia de intereses masculinos tradicionales. Intereses intelectuales. Sensible, empático.",IF(Z97=62,"Conflictos sobre la identidad sexual.  Ausencia de intereses masculinos tradicionales. Intereses intelectuales. Sensible, empático.",IF(Z97=63,"Conflictos sobre la identidad sexual.  Ausencia de intereses masculinos tradicionales. Intereses intelectuales. Sensible, empático.",IF(Z97=64,"Conflictos sobre la identidad sexual.  Ausencia de intereses masculinos tradicionales. Intereses intelectuales. Sensible, empático.",0)))))</f>
        <v/>
      </c>
      <c r="H201" s="24">
        <f>IF(Z97=65,"Conflictos sobre la identidad sexual.  Ausencia de intereses masculinos tradicionales. Intereses intelectuales. Sensible, empático.",IF(Z97=66,"Conflictos sobre la identidad sexual. Ausencia de intereses masculinos tradicionales. Intereses intelectuales. Sensible, empático.",IF(Z97=67,"Conflictos sobre la identidad sexual. Ausencia de intereses masculinos tradicionales. Intereses intelectuales. Sensible, empático.",IF(Z97=68,"Conflictos sobre la identidad sexual.  Ausencia de intereses masculinos tradicionales. Intereses intelectuales. Sensible, empático.",IF(Z97=69,"Conflictos sobre la identidad sexual. Ausencia de intereses masculinos tradicionales. Intereses intelectuales. Sensible, empático.",0)))))</f>
        <v/>
      </c>
      <c r="I201" s="24">
        <f>IF(Z97=70,"Conflictos sobre la identidad sexual.  Ausencia de intereses masculinos tradicionales. Intereses intelectuales. Sensible, empático.",IF(Z97=71,"Conflictos sobre la identidad sexual.  Ausencia de intereses masculinos tradicionales. Intereses intelectuales. Sensible, empático.",IF(Z97=72,"Conflictos sobre la identidad sexual.  Ausencia de intereses masculinos tradicionales. Intereses intelectuales. Sensible, empático.",IF(Z97=73,"Conflictos sobre la identidad sexual.  Ausencia de intereses masculinos tradicionales. Intereses intelectuales. Sensible, empático.",IF(Z97=74,"Conflictos sobre la identidad sexual. Ausencia de intereses masculinos tradicionales. Intereses intelectuales. Sensible, empático.",0)))))</f>
        <v/>
      </c>
      <c r="J201" s="24">
        <f>IF(Z97=75,"Conflictos sobre la identidad sexual.  Ausencia de intereses masculinos tradicionales. Intereses intelectuales. Sensible, empático.",IF(Z97&gt;75,"Considerar graves problemas en la esfera psicosexual.",0))</f>
        <v/>
      </c>
      <c r="K201" s="24">
        <f>IF(D201&lt;&gt;0,D201,IF(E201&lt;&gt;0,E201,IF(F201&lt;&gt;0,F201,IF(G201&lt;&gt;0,G201,IF(H201&lt;&gt;0,H201,IF(I201&lt;&gt;0,I201,IF(J201&lt;&gt;0,J201,0)))))))</f>
        <v/>
      </c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  <c r="AC201" s="24" t="n"/>
      <c r="AD201" s="24" t="n"/>
      <c r="AE201" s="24" t="n"/>
      <c r="AF201" s="24" t="n"/>
      <c r="AG201" s="24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</row>
    <row r="202" ht="12.75" customHeight="1" s="110">
      <c r="B202" s="24" t="n"/>
      <c r="C202" s="26" t="inlineStr">
        <is>
          <t>Pa</t>
        </is>
      </c>
      <c r="D202" s="24">
        <f>IF(Z104&lt;35,"Probablemente trastorno paranoide. Cauteloso y evasivo.Testarudo.",IF(Z104=35,"Tenaz. Evasivo. Egocéntrico. Insatisfecho. Sin intuición. Considerar psicosis.",IF(Z104=36,"Tenaz. Evasivo. Egocéntrico. Insatisfecho. Sin intuición. Considerar psicosis",IF(Z104=37,"Tenaz. Evasivo. Egocéntrico. Insatisfecho. Sin intuición. Considerar psicosis",IF(Z104=38,"Tenaz. Evasivo. Egocéntrico. Insatisfecho. Sin intuición. Considerar psicosis",IF(Z104=39,"Tenaz. Evasivo. Egocéntrico. Insatisfecho. Sin intuición. Considerar psicosis",IF(Z104=40,"Tenaz. Evasivo. Egocéntrico. Insatisfecho. Sin intuición. Considerar psicosis",0)))))))</f>
        <v/>
      </c>
      <c r="E202" s="24">
        <f>IF(Z104=41,"Tenaz. Evasivo. Egocéntrico. Insatisfecho. Sin intuición. Considerar psicosis.",IF(Z104=42,"Tenaz. Evasivo. Egocéntrico. Insatisfecho. Sin intuición. Considerar psicosis.",IF(Z104=43,"Tenaz. Evasivo. Egocéntrico. Insatisfecho. Sin intuición. Considerar psicosis",IF(Z104=44,"Tenaz. Evasivo. Egocéntrico. Insatisfecho. Sin intuición. Considerar psicosis",IF(Z104=45,"Puntuaciones medias. Racional. Pensamiento claro. Cauto. Flexible.",IF(Z104=46,"Puntuaciones medias. Racional. Pensamiento claro. Cauto. Flexible",IF(Z104=47,"Puntuaciones medias. Racional. Pensamiento claro. Cauto. Flexible",0)))))))</f>
        <v/>
      </c>
      <c r="F202" s="24">
        <f>IF(Z104=48,"Puntuaciones medias. Racional. Pensamiento claro. Cauto. Flexible.",IF(Z104=49,"Puntuaciones medias. Racional. Pensamiento claro. Cauto. Flexible.",IF(Z104=50,"Sensible. Suspicaz. Airado, resentido. Ausencia de control emocional",IF(Z104=51,"Sensible. Suspicaz. Airado, resentido. Ausencia de control emocional",IF(Z104=52,"Sensible. Suspicaz. Airado, resentido. Ausencia de control emocional.",IF(Z104=53,"Sensible. Suspicaz. Airado, resentido. Ausencia de control emocional",IF(Z104=54,"Sensible. Suspicaz. Airado, resentido. Ausencia de control emocional",0)))))))</f>
        <v/>
      </c>
      <c r="G202" s="24">
        <f>IF(Z104=55,"Puntuaciones medias. Racional. Pensamiento claro. Cauto. Flexible.",IF(Z104=56,"Puntuaciones medias. Racional. Pensamiento claro. Cauto. Flexible.",IF(Z104=57,"Sensible. Suspicaz. Airado, resentido. Ausencia de control emocional",IF(Z104=58,"Sensible. Suspicaz. Airado, resentido. Ausencia de control emocional",IF(Z104=59,"Sensible. Suspicaz. Airado, resentido. Ausencia de control emocional.",IF(Z104=60,"Predisposición paranoide. Excesivamente sensible. suspicaz. Airado, resentido. Reservado",IF(Z104=61,"Predisposición paranoide. Excesivamente sensible. suspicaz. Airado, resentido. Reservado",0)))))))</f>
        <v/>
      </c>
      <c r="H202" s="24">
        <f>IF(Z104=62,"Predisposición paranoide. Excesivamente sensible. suspicaz. Airado, resentido. Reservado.",IF(Z104=63,"Predisposición paranoide. Excesivamente sensible. suspicaz. Airado, resentido. Reservado.",IF(Z104=64,"Predisposición paranoide. Excesivamente sensible. suspicaz. Airado, resentido. Reservado",IF(Z104=65,"Predisposición paranoide. Excesivamente sensible. suspicaz. Airado, resentido. Reservado",IF(Z104=66,"Predisposición paranoide. Excesivamente sensible. suspicaz. Airado, resentido. Reservado.",IF(Z104=67,"Predisposición paranoide. Excesivamente sensible. suspicaz. Airado, resentido. Reservado",IF(Z104=68,"Predisposición paranoide. Excesivamente sensible. suspicaz. Airado, resentido. Reservado",0)))))))</f>
        <v/>
      </c>
      <c r="I202" s="24">
        <f>IF(Z104=69,"Predisposición paranoide. Excesivamente sensible. suspicaz. Airado, resentido. Reservado.",IF(Z104=69,"Predisposición paranoide. Excesivamente sensible. suspicaz. Airado, resentido. Reservado.",IF(Z104=70,"Predisposición paranoide. Excesivamente sensible. suspicaz. Airado, resentido. Reservado",IF(Z104&gt;70,"Considerar psicosis paranoide",0))))</f>
        <v/>
      </c>
      <c r="J202" s="24">
        <f>IF(D202&lt;&gt;0,D202,IF(E202&lt;&gt;0,E202,IF(F202&lt;&gt;0,F202,IF(G202&lt;&gt;0,G202,IF(H202&lt;&gt;0,H202,IF(I202&lt;&gt;0,I202,0))))))</f>
        <v/>
      </c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  <c r="AC202" s="24" t="n"/>
      <c r="AD202" s="24" t="n"/>
      <c r="AE202" s="24" t="n"/>
      <c r="AF202" s="24" t="n"/>
      <c r="AG202" s="24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</row>
    <row r="203" ht="12.75" customHeight="1" s="110">
      <c r="B203" s="24" t="n"/>
      <c r="C203" s="26" t="inlineStr">
        <is>
          <t>Pt</t>
        </is>
      </c>
      <c r="D203" s="24">
        <f>IF(Z107&lt;40,"Ausencia de desórdenes emocionales. Seguro de sí mismo. Capaz, competente. Personalidad con prestigio, éxito, reconocimiento.",IF(Z107=40,"Puntuaciones medias. Confiable. Sincero. Adaptable. Bien organizado.",IF(Z107=41,"Puntuaciones medias. Confiable. Sincero. Adaptable. Bien organizado",IF(Z107=42,"Puntuaciones medias. Confiable. Sincero. Adaptable. Bien organizado",IF(Z107=43,"Puntuaciones medias. Confiable. Sincero. Adaptable. Bien organizado",IF(Z107=44,"Puntuaciones medias. Confiable. Sincero. Adaptable. Bien organizado",IF(Z107=45,"Puntuaciones medias. Confiable. Sincero. Adaptable. Bien organizado",0)))))))</f>
        <v/>
      </c>
      <c r="E203" s="24">
        <f>IF(Z107=46,"Puntuaciones medias. Confiable. Sincero. Adaptable. Bien organizado.",IF(Z107=47,"Puntuaciones medias. Confiable. Sincero. Adaptable. Bien organizado.",IF(Z107=48,"Puntuaciones medias. Confiable. Sincero. Adaptable. Bien organizado",IF(Z107=49,"Puntuaciones medias. Confiable. Sincero. Adaptable. Bien organizado",IF(Z107=49,"Puntuaciones medias. Confiable. Sincero. Adaptable. Bien organizado",IF(Z107=50,"Puntuaciones medias. Confiable. Sincero. Adaptable. Bien organizado",IF(Z107=51,"Puntuaciones medias. Confiable. Sincero. Adaptable. Bien organizado",0)))))))</f>
        <v/>
      </c>
      <c r="F203" s="24">
        <f>IF(Z107=52,"Puntuaciones medias. Confiable. Sincero. Adaptable. Bien organizado.",IF(Z107=53,"Puntuaciones medias. Confiable. Sincero. Adaptable. Bien organizado.",IF(Z107=54,"Puntuaciones medias. Confiable. Sincero. Adaptable. Bien organizado",IF(Z107=55,"Puntuaciones medias. Confiable. Sincero. Adaptable. Bien organizado",IF(Z107=56,"Puntuaciones medias. Confiable. Sincero. Adaptable. Bien organizado",IF(Z107=57,"Puntuaciones medias. Confiable. Sincero. Adaptable. Bien organizado",IF(Z107=58,"Puntuaciones medias. Confiable. Sincero. Adaptable. Bien organizado",0)))))))</f>
        <v/>
      </c>
      <c r="G203" s="24">
        <f>IF(Z107=59,"Puntuaciones medias. Confiable. Sincero. Adaptable. Bien organizado.",IF(Z107=60,"Ansiedad, moderada depresión. Pesadillas en los sueños. Falta de seguridad en sí mismo. Culpabilidad. Perfeccionista. Indeciso. No se siente aceptado por los demás.",IF(Z107=61,"Ansiedad, moderada depresión. Pesadillas en los sueños. Falta de seguridad en sí mismo. Culpabilidad. Perfeccionista. Indeciso. No se siente aceptado por los demás",IF(Z107=62,"Ansiedad, moderada depresión. Pesadillas en los sueños. Falta de seguridad en sí mismo. Culpabilidad. Perfeccionista. Indeciso. No se siente aceptado por los demás",IF(Z107=63,"Ansiedad, moderada depresión. Pesadillas en los sueños. Falta de seguridad en sí mismo. Culpabilidad. Perfeccionista. Indeciso. No se siente aceptado por los demás",0)))))</f>
        <v/>
      </c>
      <c r="H203" s="24">
        <f>IF(Z107=64,"Puntuaciones medias. Confiable. Sincero. Adaptable. Bien organizado.",IF(Z107=65,"Ansiedad, moderada depresión. Pesadillas en los sueños. Falta de seguridad en sí mismo. Culpabilidad. Perfeccionista. Indeciso. No se siente aceptado por los demás.",IF(Z107=66,"Ansiedad, moderada depresión. Pesadillas en los sueños. Falta de seguridad en sí mismo. Culpabilidad. Perfeccionista. Indeciso. No se siente aceptado por los demás",IF(Z107=67,"Ansiedad, moderada depresión. Pesadillas en los sueños. Falta de seguridad en sí mismo. Culpabilidad. Perfeccionista. Indeciso. No se siente aceptado por los demás",IF(Z107=68,"Ansiedad, moderada depresión. Pesadillas en los sueños. Falta de seguridad en sí mismo. Culpabilidad. Perfeccionista. Indeciso. No se siente aceptado por los demás",0)))))</f>
        <v/>
      </c>
      <c r="I203" s="24">
        <f>IF(Z107=69,"Puntuaciones medias. Confiable. Sincero. Adaptable. Bien organizado.",IF(Z107=70,"Ansiedad, moderada depresión. Pesadillas en los sueños. Falta de seguridad en sí mismo. Culpabilidad. Perfeccionista. Indeciso. No se siente aceptado por los demás.",IF(Z107=71,"Ansiedad, moderada depresión. Pesadillas en los sueños. Falta de seguridad en sí mismo. Culpabilidad. Perfeccionista. Indeciso. No se siente aceptado por los demás",IF(Z107=72,"Ansiedad, moderada depresión. Pesadillas en los sueños. Falta de seguridad en sí mismo. Culpabilidad. Perfeccionista. Indeciso. No se siente aceptado por los demás",IF(Z107=73,"Ansiedad, moderada depresión. Pesadillas en los sueños. Falta de seguridad en sí mismo. Culpabilidad. Perfeccionista. Indeciso. No se siente aceptado por los demás",0)))))</f>
        <v/>
      </c>
      <c r="J203" s="24">
        <f>IF(Z107=74,"Puntuaciones medias. Confiable. Sincero. Adaptable. Bien organizado.",IF(Z107=75,"Ansiedad, moderada depresión. Pesadillas en los sueños. Falta de seguridad en sí mismo. Culpabilidad. Perfeccionista. Indeciso. No se siente aceptado por los demás.",IF(Z107&gt;75,"Miedo extremo, ansiedad, tensión. Trastornos del pensamiento. Percepción defectuosa. Falta de concentración. Rumiaciones. Rituales rígidos. Fobias supersticiosas. Sentimientos de culpa.",0)))</f>
        <v/>
      </c>
      <c r="K203" s="24">
        <f>IF(D203&lt;&gt;0,D203,IF(E203&lt;&gt;0,E203,IF(F203&lt;&gt;0,F203,IF(G203&lt;&gt;0,G203,IF(H203&lt;&gt;0,H203,IF(I203&lt;&gt;0,I203,IF(J203&lt;&gt;0,J203,0)))))))</f>
        <v/>
      </c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  <c r="AC203" s="24" t="n"/>
      <c r="AD203" s="24" t="n"/>
      <c r="AE203" s="24" t="n"/>
      <c r="AF203" s="24" t="n"/>
      <c r="AG203" s="24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</row>
    <row r="204" ht="12.75" customHeight="1" s="110">
      <c r="B204" s="24" t="n"/>
      <c r="C204" s="26" t="inlineStr">
        <is>
          <t>Sc</t>
        </is>
      </c>
      <c r="D204" s="24">
        <f>IF(Z112&lt;40,"Sensible. Confiado. Prudente, convencional. Concreto, práctico. Condescendiente, sumiso.",IF(Z112=40,"Puntuaciones medias. Adaptable. Dependiente. Buen equilibrio.",IF(Z112=41,"Puntuaciones medias. Adaptable. Dependiente. Buen equilibrio",IF(Z112=42,"Puntuaciones medias. Adaptable. Dependiente. Buen equilibrio",IF(Z112=43,"Puntuaciones medias. Adaptable. Dependiente. Buen equilibrio",IF(Z112=44,"Puntuaciones medias. Adaptable. Dependiente. Buen equilibrio",IF(Z112=45,"Puntuaciones medias. Adaptable. Dependiente. Buen equilibrio",0)))))))</f>
        <v/>
      </c>
      <c r="E204" s="24">
        <f>IF(Z112=46,"Puntuaciones medias. Adaptable. Dependiente. Buen equilibrio.",IF(Z112=47,"Puntuaciones medias. Adaptable. Dependiente. Buen equilibrio.",IF(Z112=48,"Puntuaciones medias. Adaptable. Dependiente. Buen equilibrio",IF(Z112=49,"Puntuaciones medias. Adaptable. Dependiente. Buen equilibrio",IF(Z112=50,"Puntuaciones medias. Adaptable. Dependiente. Buen equilibrio",IF(Z112=51,"Puntuaciones medias. Adaptable. Dependiente. Buen equilibrio",IF(Z112=52,"Puntuaciones medias. Adaptable. Dependiente. Buen equilibrio",0)))))))</f>
        <v/>
      </c>
      <c r="F204" s="24">
        <f>IF(Z112=53,"Puntuaciones medias. Adaptable. Dependiente. Buen equilibrio.",IF(Z112=54,"Puntuaciones medias. Adaptable. Dependiente. Buen equilibrio.",IF(Z112=55,"Puntuaciones medias. Adaptable. Dependiente. Buen equilibrio",IF(Z112=56,"Puntuaciones medias. Adaptable. Dependiente. Buen equilibrio",IF(Z112=57,"Puntuaciones medias. Adaptable. Dependiente. Buen equilibrio",IF(Z112=58,"Puntuaciones medias. Adaptable. Dependiente. Buen equilibrio",IF(Z112=59,"Puntuaciones medias. Adaptable. Dependiente. Buen equilibrio",0)))))))</f>
        <v/>
      </c>
      <c r="G204" s="24">
        <f>IF(Z112=60,"Esquizoide. Confuso. Miedoso. Pesadillas en el sueño.Reservado, no comprometido. Fantasía y ensueños excesivos.",IF(Z112=61,"Esquizoide. Confuso. Miedoso. Pesadillas en el sueño.Reservado, no comprometido. Fantasía y ensueños excesivos",IF(Z112=62,"Esquizoide. Confuso. Miedoso. Pesadillas en el sueño.Reservado, no comprometido. Fantasía y ensueños excesivos",IF(Z112=63,"Esquizoide. Confuso. Miedoso. Pesadillas en el sueño.Reservado, no comprometido. Fantasía y ensueños excesivos",IF(Z112=64,"Esquizoide. Confuso. Miedoso. Pesadillas en el sueño.Reservado, no comprometido. Fantasía y ensueños excesivos",IF(Z112=65,"Esquizoide. Confuso. Miedoso. Pesadillas en el sueño.Reservado, no comprometido. Fantasía y ensueños excesivos",0))))))</f>
        <v/>
      </c>
      <c r="H204" s="24">
        <f>IF(Z112=66,"Esquizoide. Confuso. Miedoso. Pesadillas en el sueño.Reservado, no comprometido. Fantasía y ensueños excesivos.",IF(Z112=67,"Esquizoide. Confuso. Miedoso. Pesadillas en el sueño.Reservado, no comprometido. Fantasía y ensueños excesivos",IF(Z112=68,"Esquizoide. Confuso. Miedoso. Pesadillas en el sueño.Reservado, no comprometido. Fantasía y ensueños excesivos",IF(Z112=69,"Esquizoide. Confuso. Miedoso. Pesadillas en el sueño.Reservado, no comprometido. Fantasía y ensueños excesivos",IF(Z112=70,"Esquizoide. Confuso. Miedoso. Pesadillas en el sueño.Reservado, no comprometido. Fantasía y ensueños excesivos",IF(Z112=71,"Esquizoide. Confuso. Miedoso. Pesadillas en el sueño.Reservado, no comprometido. Fantasía y ensueños excesivos",0))))))</f>
        <v/>
      </c>
      <c r="I204" s="24">
        <f>IF(Z112=72,"Esquizoide. Confuso. Miedoso. Pesadillas en el sueño.Reservado, no comprometido. Fantasía y ensueños excesivos.",IF(Z112=73,"Esquizoide. Confuso. Miedoso. Pesadillas en el sueño.Reservado, no comprometido. Fantasía y ensueños excesivos",IF(Z112=74,"Esquizoide. Confuso. Miedoso. Pesadillas en el sueño.Reservado, no comprometido. Fantasía y ensueños excesivos",IF(Z112=75,"Esquizoide. Confuso. Miedoso. Pesadillas en el sueño.Reservado, no comprometido. Fantasía y ensueños excesivos",IF(Z112&gt;75,"Posible trastorno esquizofrénico",0)))))</f>
        <v/>
      </c>
      <c r="J204" s="24">
        <f>IF(D204&lt;&gt;0,D204,IF(E204&lt;&gt;0,E204,IF(F204&lt;&gt;0,F204,IF(G204&lt;&gt;0,G204,IF(H204&lt;&gt;0,H204,IF(I204&lt;&gt;0,I204,0))))))</f>
        <v/>
      </c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  <c r="AC204" s="24" t="n"/>
      <c r="AD204" s="24" t="n"/>
      <c r="AE204" s="24" t="n"/>
      <c r="AF204" s="24" t="n"/>
      <c r="AG204" s="24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</row>
    <row r="205" ht="12.75" customHeight="1" s="110">
      <c r="B205" s="24" t="n"/>
      <c r="C205" s="26" t="inlineStr">
        <is>
          <t>Ma</t>
        </is>
      </c>
      <c r="D205" s="24">
        <f>IF(Z115&lt;40,"Sensible. Confiado. Prudente, convencional. Concreto, práctico. Condescendiente, sumiso.",IF(Z115=40,"Puntuaciones medias. Sociable y amistoso. Responsable. Realista. Entusiasta. Equilibrado.",IF(Z115=41,"Puntuaciones medias. Sociable y amistoso. Responsable. Realista. Entusiasta. Equilibrado",IF(Z115=42,"Puntuaciones medias. Sociable y amistoso. Responsable. Realista. Entusiasta. Equilibrado",IF(Z115=43,"Puntuaciones medias. Sociable y amistoso. Responsable. Realista. Entusiasta. Equilibrado",IF(Z115=44,"Puntuaciones medias. Sociable y amistoso. Responsable. Realista. Entusiasta. Equilibrado",IF(Z115=45,"Puntuaciones medias. Sociable y amistoso. Responsable. Realista. Entusiasta. Equilibrado",0)))))))</f>
        <v/>
      </c>
      <c r="E205" s="24">
        <f>IF(Z115=46,"Puntuaciones medias. Sociable y amistoso. Responsable. Realista. Entusiasta. Equilibrado.",IF(Z115=47,"Puntuaciones medias. Sociable y amistoso. Responsable. Realista. Entusiasta. Equilibrado.",IF(Z115=48,"Puntuaciones medias. Sociable y amistoso. Responsable. Realista. Entusiasta. Equilibrado",IF(Z115=49,"Puntuaciones medias. Sociable y amistoso. Responsable. Realista. Entusiasta. Equilibrado",IF(Z115=50,"Puntuaciones medias. Sociable y amistoso. Responsable. Realista. Entusiasta. Equilibrado",IF(Z115=51,"Puntuaciones medias. Sociable y amistoso. Responsable. Realista. Entusiasta. Equilibrado",IF(Z115=52,"Puntuaciones medias. Sociable y amistoso. Responsable. Realista. Entusiasta. Equilibrado",0)))))))</f>
        <v/>
      </c>
      <c r="F205" s="24">
        <f>IF(Z115=53,"Puntuaciones medias. Sociable y amistoso. Responsable. Realista. Entusiasta. Equilibrado.",IF(Z115=54,"Puntuaciones medias. Sociable y amistoso. Responsable. Realista. Entusiasta. Equilibrado.",IF(Z115=55,"Puntuaciones medias. Sociable y amistoso. Responsable. Realista. Entusiasta. Equilibrado",IF(Z115=56,"Puntuaciones medias. Sociable y amistoso. Responsable. Realista. Entusiasta. Equilibrado",IF(Z115=57,"Puntuaciones medias. Sociable y amistoso. Responsable. Realista. Entusiasta. Equilibrado",IF(Z115=58,"Puntuaciones medias. Sociable y amistoso. Responsable. Realista. Entusiasta. Equilibrado",IF(Z115=59,"Puntuaciones medias. Sociable y amistoso. Responsable. Realista. Entusiasta. Equilibrado",0)))))))</f>
        <v/>
      </c>
      <c r="G205" s="24">
        <f>IF(Z115=60,"Activo. Enérgico. Extrovertido. Creativo. Rebelde.",IF(Z115=61,"Activo. Enérgico. Extrovertido. Creativo. Rebelde.",IF(Z115=62,"Activo. Enérgico. Extrovertido. Creativo. Rebelde.",IF(Z115=63,"Activo. Enérgico. Extrovertido. Creativo. Rebelde.",IF(Z115=64,"Activo. Enérgico. Extrovertido. Creativo. Rebelde.",IF(Z115=65,"Activo. Enérgico. Extrovertido. Creativo. Rebelde.",IF(Z115=66,"Activo. Enérgico. Extrovertido. Creativo. Rebelde.",0)))))))</f>
        <v/>
      </c>
      <c r="H205" s="24">
        <f>IF(Z115=67,"Activo. Enérgico. Extrovertido. Creativo. Rebelde.",IF(Z115=68,"Activo. Enérgico. Extrovertido. Creativo. Rebelde.",IF(Z115=69,"Activo. Enérgico. Extrovertido. Creativo. Rebelde.",IF(Z115=70,"Energía excesiva. Ausencia de dirección. Desorganización conceptual. Poco realista en su auto-valoración. Tiránico, mandón. Muy hablador. Baja tolerancia a la frustración. Impulsivo.",IF(Z115=71,"Energía excesiva. Ausencia de dirección. Desorganización conceptual. Poco realista en su auto-valoración. Tiránico, mandón. Muy hablador. Baja tolerancia a la frustración. Impulsivo.",IF(Z115=72,"Energía excesiva. Ausencia de dirección. Desorganización conceptual. Poco realista en su auto-valoración. Tiránico, mandón. Muy hablador. Baja tolerancia a la frustración. Impulsivo.",0))))))</f>
        <v/>
      </c>
      <c r="I205" s="24">
        <f>IF(Z115=73,"Energía excesiva. Ausencia de dirección. Desorganización conceptual. Poco realista en su auto-valoración. Tiránico, mandón. Muy hablador. Baja tolerancia a la frustración. Impulsivo.",IF(Z115=74,"Energía excesiva. Ausencia de dirección. Desorganización conceptual. Poco realista en su auto-valoración. Tiránico, mandón. Muy hablador. Baja tolerancia a la frustración. Impulsivo.",IF(Z115=75,"Energía excesiva. Ausencia de dirección. Desorganización conceptual. Poco realista en su auto-valoración. Tiránico, mandón. Muy hablador. Baja tolerancia a la frustración. Impulsivo.",IF(Z115=76,"Energía excesiva. Ausencia de dirección. Desorganización conceptual. Poco realista en su auto-valoración. Tiránico, mandón. Muy hablador. Baja tolerancia a la frustración. Impulsivo.",0))))</f>
        <v/>
      </c>
      <c r="J205" s="24">
        <f>IF(Z115=77,"Energía excesiva. Ausencia de dirección. Desorganización conceptual. Poco realista en su auto-valoración. Tiránico, mandón. Muy hablador. Baja tolerancia a la frustración. Impulsivo.",IF(Z115=78,"Energía excesiva. Ausencia de dirección. Desorganización conceptual. Poco realista en su auto-valoración. Tiránico, mandón. Muy hablador. Baja tolerancia a la frustración. Impulsivo.",IF(Z115=79,"Energía excesiva. Ausencia de dirección. Desorganización conceptual. Poco realista en su auto-valoración. Tiránico, mandón. Muy hablador. Baja tolerancia a la frustración. Impulsivo.",IF(Z115=80,"Energía excesiva. Ausencia de dirección. Desorganización conceptual. Poco realista en su auto-valoración. Tiránico, mandón. Muy hablador. Baja tolerancia a la frustración. Impulsivo.",IF(Z115&gt;80,"Posible trastorno bipolar, tipo maníaco",0)))))</f>
        <v/>
      </c>
      <c r="K205" s="24">
        <f>IF(D205&lt;&gt;0,D205,IF(E205&lt;&gt;0,E205,IF(F205&lt;&gt;0,F205,IF(G205&lt;&gt;0,G205,IF(H205&lt;&gt;0,H205,IF(I205&lt;&gt;0,I205,IF(J205&lt;&gt;0,J205,0)))))))</f>
        <v/>
      </c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  <c r="AE205" s="24" t="n"/>
      <c r="AF205" s="24" t="n"/>
      <c r="AG205" s="24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</row>
    <row r="206" ht="12.75" customHeight="1" s="110">
      <c r="B206" s="24" t="n"/>
      <c r="C206" s="26" t="inlineStr">
        <is>
          <t>Si</t>
        </is>
      </c>
      <c r="D206" s="24">
        <f>IF(Z120&lt;40,"Extravertido, sociable. Seguro de sí mismo. Enérgico. Competitivo. Poco controlado. Manipulativo.",IF(Z120=40,"Puntuaciones medias. Activo. Enérgico. Amistoso. Equilibrado. Hablador.",IF(Z120=41,"Puntuaciones medias. Activo. Enérgico. Amistoso. Equilibrado. Hablador.",IF(Z120=42,"Puntuaciones medias. Activo. Enérgico. Amistoso. Equilibrado. Hablador.",IF(Z120=43,"Puntuaciones medias. Activo. Enérgico. Amistoso. Equilibrado. Hablador.",IF(Z120=44,"Puntuaciones medias. Activo. Enérgico. Amistoso. Equilibrado. Hablador.",IF(Z120=45,"Puntuaciones medias. Activo. Enérgico. Amistoso. Equilibrado. Hablador.",0)))))))</f>
        <v/>
      </c>
      <c r="E206" s="24">
        <f>IF(Z120=46,"Puntuaciones medias. Activo. Enérgico. Amistoso. Equilibrado. Hablador.",IF(Z120=47,"Puntuaciones medias. Activo. Enérgico. Amistoso. Equilibrado. Hablador.",IF(Z120=48,"Puntuaciones medias. Activo. Enérgico. Amistoso. Equilibrado. Hablador.",IF(Z120=49,"Puntuaciones medias. Activo. Enérgico. Amistoso. Equilibrado. Hablador.",IF(Z120=50,"Puntuaciones medias. Activo. Enérgico. Amistoso. Equilibrado. Hablador.",IF(Z120=51,"Puntuaciones medias. Activo. Enérgico. Amistoso. Equilibrado. Hablador.",IF(Z120=52,"Puntuaciones medias. Activo. Enérgico. Amistoso. Equilibrado. Hablador.",0)))))))</f>
        <v/>
      </c>
      <c r="F206" s="24">
        <f>IF(Z120=53,"Puntuaciones medias. Activo. Enérgico. Amistoso. Equilibrado. Hablador.",IF(Z120=54,"Puntuaciones medias. Activo. Enérgico. Amistoso. Equilibrado. Hablador.",IF(Z120=55,"Puntuaciones medias. Activo. Enérgico. Amistoso. Equilibrado. Hablador.",IF(Z120=56,"Puntuaciones medias. Activo. Enérgico. Amistoso. Equilibrado. Hablador.",IF(Z120=57,"Puntuaciones medias. Activo. Enérgico. Amistoso. Equilibrado. Hablador.",IF(Z120=58,"Puntuaciones medias. Activo. Enérgico. Amistoso. Equilibrado. Hablador.",IF(Z120=59,"Puntuaciones medias. Activo. Enérgico. Amistoso. Equilibrado. Hablador.",0)))))))</f>
        <v/>
      </c>
      <c r="G206" s="24">
        <f>IF(Z120=60,"Introvertido, reservado, tímido. Depresivo. Ausencia de seguridad en sí mismo. Ausencia de intereses. Sumiso. Formal. Responsable en el trabajo.",IF(Z120=61,"Introvertido, reservado, tímido. Depresivo. Ausencia de seguridad en sí mismo. Ausencia de intereses. Sumiso. Formal. Responsable en el trabajo.",IF(Z120=62,"Introvertido, reservado, tímido. Depresivo. Ausencia de seguridad en sí mismo. Ausencia de intereses. Sumiso. Formal. Responsable en el trabajo.",IF(Z120=63,"Introvertido, reservado, tímido. Depresivo. Ausencia de seguridad en sí mismo. Ausencia de intereses. Sumiso. Formal. Responsable en el trabajo.",IF(Z120=64,"Introvertido, reservado, tímido. Depresivo. Ausencia de seguridad en sí mismo. Ausencia de intereses. Sumiso. Formal. Responsable en el trabajo.",0)))))</f>
        <v/>
      </c>
      <c r="H206" s="24">
        <f>IF(Z120=65,"Introvertido, reservado, tímido. Depresivo. Ausencia de seguridad en sí mismo. Ausencia de intereses. Sumiso. Formal. Responsable en el trabajo.",IF(Z120=66,"Introvertido, reservado, tímido. Depresivo. Ausencia de seguridad en sí mismo. Ausencia de intereses. Sumiso. Formal. Responsable en el trabajo.",IF(Z120=67,"Introvertido, reservado, tímido. Depresivo. Ausencia de seguridad en sí mismo. Ausencia de intereses. Sumiso. Formal. Responsable en el trabajo.",IF(Z120=68,"Introvertido, reservado, tímido. Depresivo. Ausencia de seguridad en sí mismo. Ausencia de intereses. Sumiso. Formal. Responsable en el trabajo.",IF(Z120=69,"Introvertido, reservado, tímido. Depresivo. Ausencia de seguridad en sí mismo. Ausencia de intereses. Sumiso. Formal. Responsable en el trabajo.",0)))))</f>
        <v/>
      </c>
      <c r="I206" s="24">
        <f>IF(Z120=70,"Introvertido, reservado, tímido. Depresivo. Ausencia de seguridad en sí mismo. Ausencia de intereses. Sumiso. Formal. Responsable en el trabajo.",IF(Z120=71,"Introvertido, reservado, tímido. Depresivo. Ausencia de seguridad en sí mismo. Ausencia de intereses. Sumiso. Formal. Responsable en el trabajo.",IF(Z120=72,"Introvertido, reservado, tímido. Depresivo. Ausencia de seguridad en sí mismo. Ausencia de intereses. Sumiso. Formal. Responsable en el trabajo.",IF(Z120=73,"Introvertido, reservado, tímido. Depresivo. Ausencia de seguridad en sí mismo. Ausencia de intereses. Sumiso. Formal. Responsable en el trabajo.",IF(Z120=74,"Introvertido, reservado, tímido. Depresivo. Ausencia de seguridad en sí mismo. Ausencia de intereses. Sumiso. Formal. Responsable en el trabajo.",0)))))</f>
        <v/>
      </c>
      <c r="J206" s="24">
        <f>IF(Z120=75,"Introvertido, reservado, tímido. Depresivo. Ausencia de seguridad en sí mismo. Ausencia de intereses. Sumiso. Formal. Responsable en el trabajo.",IF(Z120&gt;75,"Extremadamente reservado.",0))</f>
        <v/>
      </c>
      <c r="K206" s="24">
        <f>IF(D206&lt;&gt;0,D206,IF(E206&lt;&gt;0,E206,IF(F206&lt;&gt;0,F206,IF(G206&lt;&gt;0,G206,IF(H206&lt;&gt;0,H206,IF(I206&lt;&gt;0,I206,IF(J206&lt;&gt;0,J206,0)))))))</f>
        <v/>
      </c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  <c r="AD206" s="24" t="n"/>
      <c r="AE206" s="24" t="n"/>
      <c r="AF206" s="24" t="n"/>
      <c r="AG206" s="24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</row>
    <row r="207" ht="12.75" customHeight="1" s="110"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  <c r="AC207" s="24" t="n"/>
      <c r="AD207" s="24" t="n"/>
      <c r="AE207" s="24" t="n"/>
      <c r="AF207" s="24" t="n"/>
      <c r="AG207" s="24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</row>
    <row r="208" ht="12.75" customHeight="1" s="110">
      <c r="B208" s="24" t="n"/>
      <c r="C208" s="26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5" t="n"/>
      <c r="Y208" s="25" t="n"/>
      <c r="Z208" s="25" t="n"/>
      <c r="AA208" s="25" t="n"/>
      <c r="AB208" s="24" t="n"/>
      <c r="AC208" s="24" t="n"/>
      <c r="AD208" s="24" t="n"/>
      <c r="AE208" s="24" t="n"/>
      <c r="AF208" s="24" t="n"/>
      <c r="AG208" s="24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</row>
    <row r="209" ht="12.75" customHeight="1" s="110">
      <c r="B209" s="24" t="n"/>
      <c r="C209" s="27" t="inlineStr">
        <is>
          <t>VRIN Variable de Inconsitencia de Respuesta</t>
        </is>
      </c>
      <c r="D209" s="25" t="n"/>
      <c r="E209" s="25" t="n"/>
      <c r="F209" s="25" t="n"/>
      <c r="G209" s="25" t="n"/>
      <c r="H209" s="25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5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24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</row>
    <row r="210" ht="12.75" customHeight="1" s="110">
      <c r="B210" s="24" t="n"/>
      <c r="C210" s="24">
        <f>IF(D10=1,1,IF(D10=2,0,0))</f>
        <v/>
      </c>
      <c r="D210" s="24">
        <f>IF(D46=1,1,IF(D46=2,0,0))</f>
        <v/>
      </c>
      <c r="E210" s="24">
        <f>SUM(C210:D210)</f>
        <v/>
      </c>
      <c r="F210" s="24">
        <f>IF(E210&lt;2,0,1)</f>
        <v/>
      </c>
      <c r="G210" s="24" t="n"/>
      <c r="H210" s="24">
        <f>IF(F57=1,1,IF(F57=2,0,0))</f>
        <v/>
      </c>
      <c r="I210" s="24">
        <f>IF(P21=1,0,IF(P21=2,1,0))</f>
        <v/>
      </c>
      <c r="J210" s="24">
        <f>SUM(H210:I210)</f>
        <v/>
      </c>
      <c r="K210" s="24">
        <f>IF(J210&lt;2,0,1)</f>
        <v/>
      </c>
      <c r="L210" s="24" t="n"/>
      <c r="M210" s="24">
        <f>IF(L26=1,0,IF(L26=2,1,0))</f>
        <v/>
      </c>
      <c r="N210" s="24">
        <f>IF(N40=1,1,IF(N40=2,0,0))</f>
        <v/>
      </c>
      <c r="O210" s="24">
        <f>SUM(M210:N210)</f>
        <v/>
      </c>
      <c r="P210" s="24">
        <f>IF(O210&lt;2,0,1)</f>
        <v/>
      </c>
      <c r="Q210" s="24" t="n"/>
      <c r="R210" s="24">
        <f>IF(P58=1,0,IF(P58=2,1,0))</f>
        <v/>
      </c>
      <c r="S210" s="24">
        <f>IF(T12=1,1,IF(T12=2,0,0))</f>
        <v/>
      </c>
      <c r="T210" s="24">
        <f>SUM(R210:S210)</f>
        <v/>
      </c>
      <c r="U210" s="24">
        <f>IF(T210&lt;2,0,1)</f>
        <v/>
      </c>
      <c r="V210" s="24" t="n"/>
      <c r="W210" s="24" t="n"/>
      <c r="X210" s="24" t="n"/>
      <c r="Y210" s="24" t="n"/>
      <c r="Z210" s="24" t="n"/>
      <c r="AA210" s="24" t="n"/>
      <c r="AB210" s="24" t="n"/>
      <c r="AC210" s="24" t="n"/>
      <c r="AD210" s="24" t="n"/>
      <c r="AE210" s="24" t="n"/>
      <c r="AF210" s="24" t="n"/>
      <c r="AG210" s="24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</row>
    <row r="211" ht="12.75" customHeight="1" s="110">
      <c r="B211" s="24" t="n"/>
      <c r="C211" s="24">
        <f>IF(D13=1,1,IF(D13=2,0,0))</f>
        <v/>
      </c>
      <c r="D211" s="24">
        <f>IF(F37=1, 0,IF(F37=2,1,0 ))</f>
        <v/>
      </c>
      <c r="E211" s="24">
        <f>SUM(C211:D211)</f>
        <v/>
      </c>
      <c r="F211" s="24">
        <f>IF(E211&lt;2,0,1)</f>
        <v/>
      </c>
      <c r="G211" s="24" t="n"/>
      <c r="H211" s="24">
        <f>IF(F57=1,0,IF(F57=2,1,0))</f>
        <v/>
      </c>
      <c r="I211" s="24">
        <f>IF(P21=1,1,IF(P21=2,0,0))</f>
        <v/>
      </c>
      <c r="J211" s="24">
        <f>SUM(H211:I211)</f>
        <v/>
      </c>
      <c r="K211" s="24">
        <f>IF(J211&lt;2,0,1)</f>
        <v/>
      </c>
      <c r="L211" s="24" t="n"/>
      <c r="M211" s="24">
        <f>IF(L29=1,0,IF(L29=2,1,0))</f>
        <v/>
      </c>
      <c r="N211" s="24">
        <f>IF(L42=1,0,IF(L42=2,1,0))</f>
        <v/>
      </c>
      <c r="O211" s="24">
        <f>SUM(M211:N211)</f>
        <v/>
      </c>
      <c r="P211" s="24">
        <f>IF(O211&lt;2,0,1)</f>
        <v/>
      </c>
      <c r="Q211" s="24" t="n"/>
      <c r="R211" s="24">
        <f>IF(R59=1,1,IF(R59=2,0,0))</f>
        <v/>
      </c>
      <c r="S211" s="24">
        <f>IF(T60=1,0,IF(T60=2,1,0))</f>
        <v/>
      </c>
      <c r="T211" s="24">
        <f>SUM(R211:S211)</f>
        <v/>
      </c>
      <c r="U211" s="24">
        <f>IF(T211&lt;2,0,1)</f>
        <v/>
      </c>
      <c r="V211" s="24" t="n"/>
      <c r="W211" s="24" t="n"/>
      <c r="X211" s="24" t="n"/>
      <c r="Y211" s="24" t="n"/>
      <c r="Z211" s="24" t="n"/>
      <c r="AA211" s="24" t="n"/>
      <c r="AB211" s="24" t="n"/>
      <c r="AC211" s="24" t="n"/>
      <c r="AD211" s="24" t="n"/>
      <c r="AE211" s="24" t="n"/>
      <c r="AF211" s="24" t="n"/>
      <c r="AG211" s="24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</row>
    <row r="212" ht="12.75" customHeight="1" s="110">
      <c r="B212" s="24" t="n"/>
      <c r="C212" s="24">
        <f>IF(D13=1,0,IF(D13=2,1,0))</f>
        <v/>
      </c>
      <c r="D212" s="24">
        <f>IF(F37=1,1,IF(F37=2,0,0))</f>
        <v/>
      </c>
      <c r="E212" s="24">
        <f>SUM(C212:D212)</f>
        <v/>
      </c>
      <c r="F212" s="24">
        <f>IF(E212&lt;2,0,1)</f>
        <v/>
      </c>
      <c r="G212" s="24" t="n"/>
      <c r="H212" s="24">
        <f>IF(F63=1,1,IF(F63=2,0,0))</f>
        <v/>
      </c>
      <c r="I212" s="24">
        <f>IF(R17=1,0,IF(R17=2,1,0))</f>
        <v/>
      </c>
      <c r="J212" s="24">
        <f>SUM(H212:I212)</f>
        <v/>
      </c>
      <c r="K212" s="24">
        <f>IF(J212&lt;2,0,1)</f>
        <v/>
      </c>
      <c r="L212" s="24" t="n"/>
      <c r="M212" s="24">
        <f>IF(L57=1,1,IF(L57=2,0,0))</f>
        <v/>
      </c>
      <c r="N212" s="24">
        <f>IF(V23=1,0,IF(V23=2,1,0))</f>
        <v/>
      </c>
      <c r="O212" s="24">
        <f>SUM(M212:N212)</f>
        <v/>
      </c>
      <c r="P212" s="24">
        <f>IF(O212&lt;2,0,1)</f>
        <v/>
      </c>
      <c r="Q212" s="24" t="n"/>
      <c r="R212" s="24">
        <f>IF(R59=1,0,IF(R59=2,1,0))</f>
        <v/>
      </c>
      <c r="S212" s="24">
        <f>IF(T60=1,1,IF(T60=2,0,0))</f>
        <v/>
      </c>
      <c r="T212" s="24">
        <f>SUM(R212:S212)</f>
        <v/>
      </c>
      <c r="U212" s="24">
        <f>IF(T212&lt;2,0,1)</f>
        <v/>
      </c>
      <c r="V212" s="24" t="n"/>
      <c r="W212" s="24" t="n"/>
      <c r="X212" s="24" t="n"/>
      <c r="Y212" s="24" t="n"/>
      <c r="Z212" s="24" t="n"/>
      <c r="AA212" s="24" t="n"/>
      <c r="AB212" s="24" t="n"/>
      <c r="AC212" s="24" t="n"/>
      <c r="AD212" s="24" t="n"/>
      <c r="AE212" s="24" t="n"/>
      <c r="AF212" s="24" t="n"/>
      <c r="AG212" s="24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</row>
    <row r="213" ht="12.75" customHeight="1" s="110">
      <c r="B213" s="24" t="n"/>
      <c r="C213" s="24">
        <f>IF(D35=1,1,IF(D35=2,0,0))</f>
        <v/>
      </c>
      <c r="D213" s="24">
        <f>IF(D66=1," ",IF(D66=2,1," "))</f>
        <v/>
      </c>
      <c r="E213" s="24">
        <f>SUM(C213:D213)</f>
        <v/>
      </c>
      <c r="F213" s="24">
        <f>IF(E213&lt;2,0,1)</f>
        <v/>
      </c>
      <c r="G213" s="24" t="n"/>
      <c r="H213" s="24">
        <f>IF(H12=1,1,IF(H12=2,0,0))</f>
        <v/>
      </c>
      <c r="I213" s="24">
        <f>IF(J22=1,1,IF(J22=2,0,0))</f>
        <v/>
      </c>
      <c r="J213" s="24">
        <f>SUM(H213:I213)</f>
        <v/>
      </c>
      <c r="K213" s="24">
        <f>IF(J213&lt;2,0,1)</f>
        <v/>
      </c>
      <c r="L213" s="24" t="n"/>
      <c r="M213" s="24">
        <f>IF(L57=1,0,IF(L57=2,1,0))</f>
        <v/>
      </c>
      <c r="N213" s="24">
        <f>IF(V23=1,1,IF(V23=2,0,0))</f>
        <v/>
      </c>
      <c r="O213" s="24">
        <f>SUM(M213:N213)</f>
        <v/>
      </c>
      <c r="P213" s="24">
        <f>IF(O213&lt;2,0,1)</f>
        <v/>
      </c>
      <c r="Q213" s="24" t="n"/>
      <c r="R213" s="24">
        <f>IF(T18=1,1,IF(T18=2,0,0))</f>
        <v/>
      </c>
      <c r="S213" s="24">
        <f>IF(T36=1,0,IF(T36=2,1,0))</f>
        <v/>
      </c>
      <c r="T213" s="24">
        <f>SUM(R213:S213)</f>
        <v/>
      </c>
      <c r="U213" s="24">
        <f>IF(T213&lt;2,0,1)</f>
        <v/>
      </c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  <c r="AE213" s="24" t="n"/>
      <c r="AF213" s="24" t="n"/>
      <c r="AG213" s="24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</row>
    <row r="214" ht="12.75" customHeight="1" s="110">
      <c r="B214" s="24" t="n"/>
      <c r="C214" s="24">
        <f>IF(D38=1,1,IF(D38=2,0,0))</f>
        <v/>
      </c>
      <c r="D214" s="24">
        <f>IF(L65=1,0,IF(L65=2,1,0))</f>
        <v/>
      </c>
      <c r="E214" s="24">
        <f>SUM(C214:D214)</f>
        <v/>
      </c>
      <c r="F214" s="24">
        <f>IF(E214&lt;2,0,1)</f>
        <v/>
      </c>
      <c r="G214" s="24" t="n"/>
      <c r="H214" s="24">
        <f>IF(H12=1,0,IF(H12=2,1,0))</f>
        <v/>
      </c>
      <c r="I214" s="24">
        <f>IF(J22=1,0,IF(J22=2,1,0))</f>
        <v/>
      </c>
      <c r="J214" s="24">
        <f>SUM(H214:I214)</f>
        <v/>
      </c>
      <c r="K214" s="24">
        <f>IF(J214&lt;2,0,1)</f>
        <v/>
      </c>
      <c r="L214" s="24" t="n"/>
      <c r="M214" s="24">
        <f>IF(N46=1,0,IF(N46=2,1,0))</f>
        <v/>
      </c>
      <c r="N214" s="24">
        <f>IF(P41=1,1,IF(P41=2,0,0))</f>
        <v/>
      </c>
      <c r="O214" s="24">
        <f>SUM(M214:N214)</f>
        <v/>
      </c>
      <c r="P214" s="24">
        <f>IF(O214&lt;2,0,1)</f>
        <v/>
      </c>
      <c r="Q214" s="24" t="n"/>
      <c r="R214" s="24">
        <f>IF(T33=1,1,IF(T33=2,0,0))</f>
        <v/>
      </c>
      <c r="S214" s="24">
        <f>IF(T47=1,0,IF(T47=2,1,0))</f>
        <v/>
      </c>
      <c r="T214" s="24">
        <f>SUM(R214:S214)</f>
        <v/>
      </c>
      <c r="U214" s="24">
        <f>IF(T214&lt;2,0,1)</f>
        <v/>
      </c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  <c r="AE214" s="24" t="n"/>
      <c r="AF214" s="24" t="n"/>
      <c r="AG214" s="24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</row>
    <row r="215" ht="12.75" customHeight="1" s="110">
      <c r="B215" s="24" t="n"/>
      <c r="C215" s="24">
        <f>IF(D39=1,0,IF(D39=2,1,0))</f>
        <v/>
      </c>
      <c r="D215" s="24">
        <f>IF(N23=1,1,IF(N23=2,0,0))</f>
        <v/>
      </c>
      <c r="E215" s="24">
        <f>SUM(C215:D215)</f>
        <v/>
      </c>
      <c r="F215" s="24">
        <f>IF(E215&lt;2,0,1)</f>
        <v/>
      </c>
      <c r="G215" s="24" t="n"/>
      <c r="H215" s="24">
        <f>IF(H22=1,0,IF(H22=2,1,0))</f>
        <v/>
      </c>
      <c r="I215" s="24">
        <f>IF(T9=1,1,IF(T9=2,0,0))</f>
        <v/>
      </c>
      <c r="J215" s="24">
        <f>SUM(H215:I215)</f>
        <v/>
      </c>
      <c r="K215" s="24">
        <f>IF(J215&lt;2,0,1)</f>
        <v/>
      </c>
      <c r="L215" s="24" t="n"/>
      <c r="M215" s="24">
        <f>IF(N56=1,1,IF(N56=2,0,0))</f>
        <v/>
      </c>
      <c r="N215" s="24">
        <f>IF(T42=1,0,IF(T42=2,1,0))</f>
        <v/>
      </c>
      <c r="O215" s="24">
        <f>SUM(M215:N215)</f>
        <v/>
      </c>
      <c r="P215" s="24">
        <f>IF(O215&lt;2,0,1)</f>
        <v/>
      </c>
      <c r="Q215" s="24" t="n"/>
      <c r="R215" s="24">
        <f>IF(T33=1,0,IF(T33=2,1,0))</f>
        <v/>
      </c>
      <c r="S215" s="24">
        <f>IF(T47=1,1,IF(T47=2,0,0))</f>
        <v/>
      </c>
      <c r="T215" s="24">
        <f>SUM(R215:S215)</f>
        <v/>
      </c>
      <c r="U215" s="24">
        <f>IF(T215&lt;2,0,1)</f>
        <v/>
      </c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  <c r="AE215" s="24" t="n"/>
      <c r="AF215" s="24" t="n"/>
      <c r="AG215" s="24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</row>
    <row r="216" ht="12.75" customHeight="1" s="110">
      <c r="B216" s="24" t="n"/>
      <c r="C216" s="24">
        <f>IF(D47=1,1,IF(D47=2,0,0))</f>
        <v/>
      </c>
      <c r="D216" s="24">
        <f>IF(H63=1,1,IF(H63=2,0,0))</f>
        <v/>
      </c>
      <c r="E216" s="24">
        <f>SUM(C216:D216)</f>
        <v/>
      </c>
      <c r="F216" s="24">
        <f>IF(E216&lt;2,0,1)</f>
        <v/>
      </c>
      <c r="G216" s="24" t="n"/>
      <c r="H216" s="24">
        <f>IF(H23=1,1,IF(H23=2,0,0))</f>
        <v/>
      </c>
      <c r="I216" s="24">
        <f>IF(T34=1,0,IF(T34=2,1,0))</f>
        <v/>
      </c>
      <c r="J216" s="24">
        <f>SUM(H216:I216)</f>
        <v/>
      </c>
      <c r="K216" s="24">
        <f>IF(J216&lt;2,0,1)</f>
        <v/>
      </c>
      <c r="L216" s="24" t="n"/>
      <c r="M216" s="24">
        <f>IF(N56=1,0,IF(N56=2,1,0))</f>
        <v/>
      </c>
      <c r="N216" s="24">
        <f>IF(T42=1,1,IF(T42=2,0,0))</f>
        <v/>
      </c>
      <c r="O216" s="24">
        <f>SUM(M216:N216)</f>
        <v/>
      </c>
      <c r="P216" s="24">
        <f>IF(O216&lt;2,0,1)</f>
        <v/>
      </c>
      <c r="Q216" s="24" t="n"/>
      <c r="R216" s="24">
        <f>IF(T40=1,1,IF(T40=2,0,0))</f>
        <v/>
      </c>
      <c r="S216" s="24">
        <f>IF(V9=1,0,IF(V9=2,1,0))</f>
        <v/>
      </c>
      <c r="T216" s="24">
        <f>SUM(R216:S216)</f>
        <v/>
      </c>
      <c r="U216" s="24">
        <f>IF(T216&lt;2,0,1)</f>
        <v/>
      </c>
      <c r="V216" s="24" t="n"/>
      <c r="W216" s="24" t="n"/>
      <c r="X216" s="24" t="n"/>
      <c r="Y216" s="24" t="n"/>
      <c r="Z216" s="24" t="n"/>
      <c r="AA216" s="24" t="n"/>
      <c r="AB216" s="24" t="n"/>
      <c r="AC216" s="24" t="n"/>
      <c r="AD216" s="24" t="n"/>
      <c r="AE216" s="24" t="n"/>
      <c r="AF216" s="24" t="n"/>
      <c r="AG216" s="24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</row>
    <row r="217" ht="12.75" customHeight="1" s="110">
      <c r="B217" s="24" t="n"/>
      <c r="C217" s="24">
        <f>IF(D53=1,1,IF(D53=2,0,0))</f>
        <v/>
      </c>
      <c r="D217" s="24">
        <f>IF(L32=1,0,IF(L32=2,1,0))</f>
        <v/>
      </c>
      <c r="E217" s="24">
        <f>SUM(C217:D217)</f>
        <v/>
      </c>
      <c r="F217" s="24">
        <f>IF(E217&lt;2,0,1)</f>
        <v/>
      </c>
      <c r="G217" s="24" t="n"/>
      <c r="H217" s="24">
        <f>IF(H23=1,0,IF(H23=2,1,0))</f>
        <v/>
      </c>
      <c r="I217" s="24">
        <f>IF(T34=1,1,IF(T34=2,0,0))</f>
        <v/>
      </c>
      <c r="J217" s="24">
        <f>SUM(H217:I217)</f>
        <v/>
      </c>
      <c r="K217" s="24">
        <f>IF(J217&lt;2,0,1)</f>
        <v/>
      </c>
      <c r="L217" s="24" t="n"/>
      <c r="M217" s="24">
        <f>IF(N57=1,0,IF(N57=2,1,0))</f>
        <v/>
      </c>
      <c r="N217" s="24">
        <f>IF(T48=1,1,IF(T48=2,0,0))</f>
        <v/>
      </c>
      <c r="O217" s="24">
        <f>SUM(M217:N217)</f>
        <v/>
      </c>
      <c r="P217" s="24">
        <f>IF(O217&lt;2,0,1)</f>
        <v/>
      </c>
      <c r="Q217" s="24" t="n"/>
      <c r="R217" s="24" t="n"/>
      <c r="S217" s="24" t="n"/>
      <c r="T217" s="24" t="n"/>
      <c r="U217" s="25">
        <f>SUM(U210:U216)</f>
        <v/>
      </c>
      <c r="V217" s="24" t="n"/>
      <c r="W217" s="24" t="n"/>
      <c r="X217" s="24" t="n"/>
      <c r="Y217" s="24" t="n"/>
      <c r="Z217" s="24" t="n"/>
      <c r="AA217" s="24" t="n"/>
      <c r="AB217" s="24" t="n"/>
      <c r="AC217" s="24" t="n"/>
      <c r="AD217" s="24" t="n"/>
      <c r="AE217" s="24" t="n"/>
      <c r="AF217" s="24" t="n"/>
      <c r="AG217" s="24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</row>
    <row r="218" ht="12.75" customHeight="1" s="110">
      <c r="B218" s="24" t="n"/>
      <c r="C218" s="24">
        <f>IF(D55=1,1,IF(D55=2,0,0))</f>
        <v/>
      </c>
      <c r="D218" s="24">
        <f>IF(J11=1,1,IF(J11=2," "," "))</f>
        <v/>
      </c>
      <c r="E218" s="24">
        <f>SUM(C218:D218)</f>
        <v/>
      </c>
      <c r="F218" s="24">
        <f>IF(E218&lt;2,0,1)</f>
        <v/>
      </c>
      <c r="G218" s="24" t="n"/>
      <c r="H218" s="24">
        <f>IF(H39=1,0,IF(H39=2,1,0))</f>
        <v/>
      </c>
      <c r="I218" s="24">
        <f>IF(R51=1,0,IF(R51=2,1,0))</f>
        <v/>
      </c>
      <c r="J218" s="24">
        <f>SUM(H218:I218)</f>
        <v/>
      </c>
      <c r="K218" s="24">
        <f>IF(J218&lt;2,0,1)</f>
        <v/>
      </c>
      <c r="L218" s="24" t="n"/>
      <c r="M218" s="24">
        <f>IF(N60=1,1,IF(N60=2,0,0))</f>
        <v/>
      </c>
      <c r="N218" s="24">
        <f>IF(P17=1,0,IF(P17=2,1,0))</f>
        <v/>
      </c>
      <c r="O218" s="24">
        <f>SUM(M218:N218)</f>
        <v/>
      </c>
      <c r="P218" s="24">
        <f>IF(O218&lt;2,0,1)</f>
        <v/>
      </c>
      <c r="Q218" s="24" t="n"/>
      <c r="R218" s="24" t="n"/>
      <c r="S218" s="24" t="n"/>
      <c r="T218" s="24" t="n"/>
      <c r="U218" s="25">
        <f>SUM(F230:P230)</f>
        <v/>
      </c>
      <c r="V218" s="24" t="n"/>
      <c r="W218" s="24" t="n"/>
      <c r="X218" s="24" t="n"/>
      <c r="Y218" s="24" t="n"/>
      <c r="Z218" s="24" t="n"/>
      <c r="AA218" s="24" t="n"/>
      <c r="AB218" s="24" t="n"/>
      <c r="AC218" s="24" t="n"/>
      <c r="AD218" s="24" t="n"/>
      <c r="AE218" s="24" t="n"/>
      <c r="AF218" s="24" t="n"/>
      <c r="AG218" s="24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</row>
    <row r="219" ht="12.75" customHeight="1" s="110">
      <c r="B219" s="24" t="n"/>
      <c r="C219" s="24">
        <f>IF(D56=1,1,IF(D56=2,0,0))</f>
        <v/>
      </c>
      <c r="D219" s="24">
        <f>IF(L47=1,1,IF(L47=2,0,0))</f>
        <v/>
      </c>
      <c r="E219" s="24">
        <f>SUM(C219:D219)</f>
        <v/>
      </c>
      <c r="F219" s="24">
        <f>IF(E219&lt;2,0,1)</f>
        <v/>
      </c>
      <c r="G219" s="24" t="n"/>
      <c r="H219" s="24">
        <f>IF(H48=1,1,IF(H48=2,0,0))</f>
        <v/>
      </c>
      <c r="I219" s="24">
        <f>IF(J12=1,0,IF(J12=2,1,0))</f>
        <v/>
      </c>
      <c r="J219" s="24">
        <f>SUM(H219:I219)</f>
        <v/>
      </c>
      <c r="K219" s="24">
        <f>IF(J219&lt;2,0,1)</f>
        <v/>
      </c>
      <c r="L219" s="24" t="n"/>
      <c r="M219" s="24">
        <f>IF(N60=1,0,IF(N60=2,1,0))</f>
        <v/>
      </c>
      <c r="N219" s="24">
        <f>IF(P17=1,1,IF(P17=2,0,0))</f>
        <v/>
      </c>
      <c r="O219" s="24">
        <f>SUM(M219:N219)</f>
        <v/>
      </c>
      <c r="P219" s="24">
        <f>IF(O219&lt;2,0,1)</f>
        <v/>
      </c>
      <c r="Q219" s="24" t="n"/>
      <c r="R219" s="25" t="inlineStr">
        <is>
          <t>Suma total</t>
        </is>
      </c>
      <c r="S219" s="24" t="n"/>
      <c r="T219" s="24" t="n"/>
      <c r="U219" s="25">
        <f>SUM(U217:U218)</f>
        <v/>
      </c>
      <c r="V219" s="24" t="n"/>
      <c r="W219" s="24" t="n"/>
      <c r="X219" s="24" t="n"/>
      <c r="Y219" s="24" t="n"/>
      <c r="Z219" s="24" t="n"/>
      <c r="AA219" s="24" t="n"/>
      <c r="AB219" s="24" t="n"/>
      <c r="AC219" s="24" t="n"/>
      <c r="AD219" s="24" t="n"/>
      <c r="AE219" s="24" t="n"/>
      <c r="AF219" s="24" t="n"/>
      <c r="AG219" s="24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</row>
    <row r="220" ht="12.75" customHeight="1" s="110">
      <c r="B220" s="24" t="n"/>
      <c r="C220" s="24">
        <f>IF(F20=1,1,IF(F20=2,0,0))</f>
        <v/>
      </c>
      <c r="D220" s="24">
        <f>IF(P24=1,0,IF(P24=2,1,0))</f>
        <v/>
      </c>
      <c r="E220" s="24">
        <f>SUM(C220:D220)</f>
        <v/>
      </c>
      <c r="F220" s="24">
        <f>IF(E220&lt;2,0,1)</f>
        <v/>
      </c>
      <c r="G220" s="24" t="n"/>
      <c r="H220" s="24">
        <f>IF(H48=1,0,IF(H48=2,1,0))</f>
        <v/>
      </c>
      <c r="I220" s="24">
        <f>IF(J12=1,1,IF(J12=2,0,0))</f>
        <v/>
      </c>
      <c r="J220" s="24">
        <f>SUM(H220:I220)</f>
        <v/>
      </c>
      <c r="K220" s="24">
        <f>IF(J220&lt;2,0,1)</f>
        <v/>
      </c>
      <c r="L220" s="24" t="n"/>
      <c r="M220" s="24">
        <f>IF(P11=1,0,IF(P11=2,1,0))</f>
        <v/>
      </c>
      <c r="N220" s="24">
        <f>IF(V21=1,1,IF(V21=2,0,0))</f>
        <v/>
      </c>
      <c r="O220" s="24">
        <f>SUM(M220:N220)</f>
        <v/>
      </c>
      <c r="P220" s="24">
        <f>IF(O220&lt;2,0,1)</f>
        <v/>
      </c>
      <c r="Q220" s="24" t="n"/>
      <c r="R220" s="25" t="inlineStr">
        <is>
          <t>Puntuaciones Típicas</t>
        </is>
      </c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  <c r="AB220" s="24" t="n"/>
      <c r="AC220" s="24" t="n"/>
      <c r="AD220" s="24" t="n"/>
      <c r="AE220" s="24" t="n"/>
      <c r="AF220" s="24" t="n"/>
      <c r="AG220" s="24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</row>
    <row r="221" ht="12.75" customHeight="1" s="110">
      <c r="B221" s="24" t="n"/>
      <c r="C221" s="24">
        <f>IF(D16=1,0,IF(D16=2,1,0))</f>
        <v/>
      </c>
      <c r="D221" s="24">
        <f>IF(D63=1,0,IF(D63=2,1,0))</f>
        <v/>
      </c>
      <c r="E221" s="24">
        <f>SUM(C221:D221)</f>
        <v/>
      </c>
      <c r="F221" s="24">
        <f>IF(E221&lt;2,0,1)</f>
        <v/>
      </c>
      <c r="G221" s="24" t="n"/>
      <c r="H221" s="24">
        <f>IF(H52=1,0,IF(H52=2,1,0))</f>
        <v/>
      </c>
      <c r="I221" s="24">
        <f>IF(V32=1,0,IF(V32=2,1,0))</f>
        <v/>
      </c>
      <c r="J221" s="24">
        <f>SUM(H221:I221)</f>
        <v/>
      </c>
      <c r="K221" s="24">
        <f>IF(J221&lt;2,0,1)</f>
        <v/>
      </c>
      <c r="L221" s="24" t="n"/>
      <c r="M221" s="24">
        <f>IF(P16=1,0,IF(P16=2,1,0))</f>
        <v/>
      </c>
      <c r="N221" s="24">
        <f>IF(R8=1,1,IF(R8=2,0,0))</f>
        <v/>
      </c>
      <c r="O221" s="24">
        <f>SUM(M221:N221)</f>
        <v/>
      </c>
      <c r="P221" s="24">
        <f>IF(O221&lt;2,0,1)</f>
        <v/>
      </c>
      <c r="Q221" s="24" t="n"/>
      <c r="R221" s="24">
        <f>IF(U219=0,31,IF(U219=1,34,IF(U219=2,38,IF(U219=3,42,IF(U219=4,46,IF(U219=5,50,IF(U219=6,54,0)))))))</f>
        <v/>
      </c>
      <c r="S221" s="24">
        <f>IF(U219=7,57,IF(U219=8,61,IF(U219=9,65,IF(U219=10,69,IF(U219=11,73,IF(U219=12,76,IF(U219=13,80,0)))))))</f>
        <v/>
      </c>
      <c r="T221" s="24">
        <f>IF(U219=14,84,IF(U219=15,88,IF(U219=16,92,IF(U219=17,96,IF(U219=18,99,IF(U219=19,103,IF(U219=20,107,0)))))))</f>
        <v/>
      </c>
      <c r="U221" s="24">
        <f>IF(U219=21,111,IF(U219=22,115,IF(U219=23,118,IF(U219&gt;=24,120,0))))</f>
        <v/>
      </c>
      <c r="V221" s="25">
        <f>SUM(R221:U221)</f>
        <v/>
      </c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</row>
    <row r="222" ht="12.75" customHeight="1" s="110">
      <c r="B222" s="24" t="n"/>
      <c r="C222" s="24">
        <f>IF(F28=1,1,IF(F28=2,0,0))</f>
        <v/>
      </c>
      <c r="D222" s="24">
        <f>IF(L51=1,0,IF(L51=2,1,0))</f>
        <v/>
      </c>
      <c r="E222" s="24">
        <f>SUM(C222:D222)</f>
        <v/>
      </c>
      <c r="F222" s="24">
        <f>IF(E222&lt;2,0,1)</f>
        <v/>
      </c>
      <c r="G222" s="24" t="n"/>
      <c r="H222" s="24">
        <f>IF(H53=1,1,IF(H53=2,0,0))</f>
        <v/>
      </c>
      <c r="I222" s="24">
        <f>IF(L35=1,0,IF(L35=2,1,0))</f>
        <v/>
      </c>
      <c r="J222" s="24">
        <f>SUM(H222:I222)</f>
        <v/>
      </c>
      <c r="K222" s="24">
        <f>IF(J222&lt;2,0,1)</f>
        <v/>
      </c>
      <c r="L222" s="24" t="n"/>
      <c r="M222" s="24">
        <f>IF(P19=1,1,IF(P19=2,0,0))</f>
        <v/>
      </c>
      <c r="N222" s="24">
        <f>IF(P52=1,0,IF(P52=2,1,0))</f>
        <v/>
      </c>
      <c r="O222" s="24">
        <f>SUM(M222:N222)</f>
        <v/>
      </c>
      <c r="P222" s="24">
        <f>IF(O222&lt;2,0,1)</f>
        <v/>
      </c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  <c r="AA222" s="24" t="n"/>
      <c r="AB222" s="24" t="n"/>
      <c r="AC222" s="24" t="n"/>
      <c r="AD222" s="24" t="n"/>
      <c r="AE222" s="24" t="n"/>
      <c r="AF222" s="24" t="n"/>
      <c r="AG222" s="24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</row>
    <row r="223" ht="12.75" customHeight="1" s="110">
      <c r="B223" s="24" t="n"/>
      <c r="C223" s="24">
        <f>IF(F28=1,0,IF(F28=2,1,0))</f>
        <v/>
      </c>
      <c r="D223" s="24">
        <f>IF(L51=1,1,IF(L51=2,0,0))</f>
        <v/>
      </c>
      <c r="E223" s="24">
        <f>SUM(C223:D223)</f>
        <v/>
      </c>
      <c r="F223" s="24">
        <f>IF(E223&lt;2,0,1)</f>
        <v/>
      </c>
      <c r="G223" s="24" t="n"/>
      <c r="H223" s="24">
        <f>IF(H53=1,0,IF(H53=2,1,0))</f>
        <v/>
      </c>
      <c r="I223" s="24">
        <f>IF(L35=1,1,IF(L35=2,0,0))</f>
        <v/>
      </c>
      <c r="J223" s="24">
        <f>SUM(H223:I223)</f>
        <v/>
      </c>
      <c r="K223" s="24">
        <f>IF(J223&lt;2,0,1)</f>
        <v/>
      </c>
      <c r="L223" s="24" t="n"/>
      <c r="M223" s="24">
        <f>IF(P19=1,0,IF(P19=2,1,0))</f>
        <v/>
      </c>
      <c r="N223" s="24">
        <f>IF(P52=1,1,IF(P52=2,0,0))</f>
        <v/>
      </c>
      <c r="O223" s="24">
        <f>SUM(M223:N223)</f>
        <v/>
      </c>
      <c r="P223" s="24">
        <f>IF(O223&lt;2,0,1)</f>
        <v/>
      </c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  <c r="AA223" s="24" t="n"/>
      <c r="AB223" s="24" t="n"/>
      <c r="AC223" s="24" t="n"/>
      <c r="AD223" s="24" t="n"/>
      <c r="AE223" s="24" t="n"/>
      <c r="AF223" s="24" t="n"/>
      <c r="AG223" s="24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</row>
    <row r="224" ht="12.75" customHeight="1" s="110">
      <c r="B224" s="24" t="n"/>
      <c r="C224" s="24">
        <f>IF(F30=1,1,IF(F30=2,0,0))</f>
        <v/>
      </c>
      <c r="D224" s="24">
        <f>IF(L55=1,1,IF(L55=2,0,0))</f>
        <v/>
      </c>
      <c r="E224" s="24">
        <f>SUM(C224:D224)</f>
        <v/>
      </c>
      <c r="F224" s="24">
        <f>IF(E224&lt;2,0,1)</f>
        <v/>
      </c>
      <c r="G224" s="24" t="n"/>
      <c r="H224" s="24">
        <f>IF(H54=1,1,IF(H54=2,0,0))</f>
        <v/>
      </c>
      <c r="I224" s="24">
        <f>IF(L10=1,0,IF(L10=2,1,0))</f>
        <v/>
      </c>
      <c r="J224" s="24">
        <f>SUM(H224:I224)</f>
        <v/>
      </c>
      <c r="K224" s="24">
        <f>IF(J224&lt;2,0,1)</f>
        <v/>
      </c>
      <c r="L224" s="24" t="n"/>
      <c r="M224" s="24">
        <f>IF(P27=1,1,IF(P27=2,0,0))</f>
        <v/>
      </c>
      <c r="N224" s="24">
        <f>IF(V29=1,0,IF(V29=2,1,0))</f>
        <v/>
      </c>
      <c r="O224" s="24">
        <f>SUM(M224:N224)</f>
        <v/>
      </c>
      <c r="P224" s="24">
        <f>IF(O224&lt;2,0,1)</f>
        <v/>
      </c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  <c r="AA224" s="24" t="n"/>
      <c r="AB224" s="24" t="n"/>
      <c r="AC224" s="24" t="n"/>
      <c r="AD224" s="24" t="n"/>
      <c r="AE224" s="24" t="n"/>
      <c r="AF224" s="24" t="n"/>
      <c r="AG224" s="24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</row>
    <row r="225" ht="12.75" customHeight="1" s="110">
      <c r="C225" s="24">
        <f>IF(F31=1,1,IF(F31=2,0,0))</f>
        <v/>
      </c>
      <c r="D225" s="24">
        <f>IF(F52=1,0,IF(F52=2,1,0))</f>
        <v/>
      </c>
      <c r="E225" s="24">
        <f>SUM(C225:D225)</f>
        <v/>
      </c>
      <c r="F225" s="24">
        <f>IF(E225&lt;2,0,1)</f>
        <v/>
      </c>
      <c r="G225" s="24" t="n"/>
      <c r="H225" s="24">
        <f>IF(H54=1,0,IF(H54=2,1,0))</f>
        <v/>
      </c>
      <c r="I225" s="24">
        <f>IF(L10=1,1,IF(L10=2,0,0))</f>
        <v/>
      </c>
      <c r="J225" s="24">
        <f>SUM(H225:I225)</f>
        <v/>
      </c>
      <c r="K225" s="24">
        <f>IF(J225&lt;2,0,1)</f>
        <v/>
      </c>
      <c r="L225" s="24" t="n"/>
      <c r="M225" s="24">
        <f>IF(P42=1,1,IF(P42=2,0,0))</f>
        <v/>
      </c>
      <c r="N225" s="24">
        <f>IF(R22=1,0,IF(R22=2,1,0))</f>
        <v/>
      </c>
      <c r="O225" s="24">
        <f>SUM(M225:N225)</f>
        <v/>
      </c>
      <c r="P225" s="24">
        <f>IF(O225&lt;2,0,1)</f>
        <v/>
      </c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  <c r="AC225" s="24" t="n"/>
      <c r="AD225" s="24" t="n"/>
      <c r="AE225" s="24" t="n"/>
      <c r="AF225" s="24" t="n"/>
      <c r="AG225" s="24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</row>
    <row r="226" ht="12.75" customHeight="1" s="110">
      <c r="C226" s="24">
        <f>IF(F33=1,1,IF(F33=2,0,0))</f>
        <v/>
      </c>
      <c r="D226" s="24">
        <f>IF(N66=1,0,IF(N66=2,1,0))</f>
        <v/>
      </c>
      <c r="E226" s="24">
        <f>SUM(C226:D226)</f>
        <v/>
      </c>
      <c r="F226" s="24">
        <f>IF(E226&lt;2,0,1)</f>
        <v/>
      </c>
      <c r="G226" s="24" t="n"/>
      <c r="H226" s="24">
        <f>IF(J23=1,0,IF(J23=2,1,0))</f>
        <v/>
      </c>
      <c r="I226" s="24">
        <f>IF(P62=1,1,IF(P62=2,0,0))</f>
        <v/>
      </c>
      <c r="J226" s="24">
        <f>SUM(H226:I226)</f>
        <v/>
      </c>
      <c r="K226" s="24">
        <f>IF(J226&lt;2,0,1)</f>
        <v/>
      </c>
      <c r="L226" s="24" t="n"/>
      <c r="M226" s="24">
        <f>IF(P42=1,0,IF(P42=2,1,0))</f>
        <v/>
      </c>
      <c r="N226" s="24">
        <f>IF(R22=1,1,IF(R22=2,0,0))</f>
        <v/>
      </c>
      <c r="O226" s="24">
        <f>SUM(M226:N226)</f>
        <v/>
      </c>
      <c r="P226" s="24">
        <f>IF(O226&lt;2,0,1)</f>
        <v/>
      </c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  <c r="AA226" s="24" t="n"/>
      <c r="AB226" s="24" t="n"/>
      <c r="AC226" s="24" t="n"/>
      <c r="AD226" s="24" t="n"/>
      <c r="AE226" s="24" t="n"/>
      <c r="AF226" s="24" t="n"/>
      <c r="AG226" s="24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</row>
    <row r="227" ht="12.75" customHeight="1" s="110">
      <c r="C227" s="24">
        <f>IF(F42=1,0,IF(F42=2,1,0))</f>
        <v/>
      </c>
      <c r="D227" s="24">
        <f>IF(P35=1,1,IF(P35=2,0,0))</f>
        <v/>
      </c>
      <c r="E227" s="24">
        <f>SUM(C227:D227)</f>
        <v/>
      </c>
      <c r="F227" s="24">
        <f>IF(E227&lt;2,0,1)</f>
        <v/>
      </c>
      <c r="G227" s="24" t="n"/>
      <c r="H227" s="24">
        <f>IF(J26=1,1,IF(J26=2,0,0))</f>
        <v/>
      </c>
      <c r="I227" s="24">
        <f>IF(R54=1,0,IF(R54=2,1,0))</f>
        <v/>
      </c>
      <c r="J227" s="24">
        <f>SUM(H227:I227)</f>
        <v/>
      </c>
      <c r="K227" s="24">
        <f>IF(J227&lt;2,0,1)</f>
        <v/>
      </c>
      <c r="L227" s="24" t="n"/>
      <c r="M227" s="24">
        <f>IF(P43=1,1,IF(P43=2,0,0))</f>
        <v/>
      </c>
      <c r="N227" s="24">
        <f>IF(P50=1,0,IF(P50=2,1,0))</f>
        <v/>
      </c>
      <c r="O227" s="24">
        <f>SUM(M227:N227)</f>
        <v/>
      </c>
      <c r="P227" s="24">
        <f>IF(O227&lt;2,0,1)</f>
        <v/>
      </c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  <c r="AA227" s="24" t="n"/>
      <c r="AB227" s="24" t="n"/>
      <c r="AC227" s="24" t="n"/>
      <c r="AD227" s="24" t="n"/>
      <c r="AE227" s="24" t="n"/>
      <c r="AF227" s="24" t="n"/>
      <c r="AG227" s="24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</row>
    <row r="228" ht="12.75" customHeight="1" s="110">
      <c r="C228" s="24">
        <f>IF(F46=1,0,IF(F46=2,1,0))</f>
        <v/>
      </c>
      <c r="D228" s="24">
        <f>IF(H25=1,1,IF(H25=2,0,0))</f>
        <v/>
      </c>
      <c r="E228" s="24">
        <f>SUM(C228:D228)</f>
        <v/>
      </c>
      <c r="F228" s="24">
        <f>IF(E228&lt;2,0,1)</f>
        <v/>
      </c>
      <c r="G228" s="24" t="n"/>
      <c r="H228" s="24">
        <f>IF(J26=1,0,IF(J26=2,1,0))</f>
        <v/>
      </c>
      <c r="I228" s="24">
        <f>IF(R54=1,1,IF(R54=2,0,0))</f>
        <v/>
      </c>
      <c r="J228" s="24">
        <f>SUM(H228:I228)</f>
        <v/>
      </c>
      <c r="K228" s="24">
        <f>IF(J228&lt;2,0,1)</f>
        <v/>
      </c>
      <c r="L228" s="24" t="n"/>
      <c r="M228" s="24">
        <f>IF(P43=1,0,IF(P43=2,1,0))</f>
        <v/>
      </c>
      <c r="N228" s="24">
        <f>IF(P50=1,1,IF(P50=2,0,0))</f>
        <v/>
      </c>
      <c r="O228" s="24">
        <f>SUM(M228:N228)</f>
        <v/>
      </c>
      <c r="P228" s="24">
        <f>IF(O228&lt;2,0,1)</f>
        <v/>
      </c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  <c r="AA228" s="24" t="n"/>
      <c r="AB228" s="24" t="n"/>
      <c r="AC228" s="24" t="n"/>
      <c r="AD228" s="24" t="n"/>
      <c r="AE228" s="24" t="n"/>
      <c r="AF228" s="24" t="n"/>
      <c r="AG228" s="24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</row>
    <row r="229" ht="12.75" customHeight="1" s="110">
      <c r="C229" s="24">
        <f>IF(F50=1,1,IF(F50=2,0,0))</f>
        <v/>
      </c>
      <c r="D229" s="24">
        <f>IF(N51=1,0,IF(N51=2,1,0))</f>
        <v/>
      </c>
      <c r="E229" s="24">
        <f>SUM(C229:D229)</f>
        <v/>
      </c>
      <c r="F229" s="24">
        <f>IF(E229&lt;2,0,1)</f>
        <v/>
      </c>
      <c r="G229" s="24" t="n"/>
      <c r="H229" s="24">
        <f>IF(J53=1,1,IF(J53=2,0,0))</f>
        <v/>
      </c>
      <c r="I229" s="24">
        <f>IF(L34=1,0,IF(L34=2,1,0))</f>
        <v/>
      </c>
      <c r="J229" s="24">
        <f>SUM(H229:I229)</f>
        <v/>
      </c>
      <c r="K229" s="24">
        <f>IF(J229&lt;2,0,1)</f>
        <v/>
      </c>
      <c r="L229" s="24" t="n"/>
      <c r="M229" s="24">
        <f>IF(P58=1,1,IF(P58=2,0,0))</f>
        <v/>
      </c>
      <c r="N229" s="24">
        <f>IF(T12=1,0,IF(T12=2,1,0))</f>
        <v/>
      </c>
      <c r="O229" s="24">
        <f>SUM(M229:N229)</f>
        <v/>
      </c>
      <c r="P229" s="24">
        <f>IF(O229&lt;2,0,1)</f>
        <v/>
      </c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  <c r="AA229" s="24" t="n"/>
      <c r="AB229" s="24" t="n"/>
      <c r="AC229" s="24" t="n"/>
      <c r="AD229" s="24" t="n"/>
      <c r="AE229" s="24" t="n"/>
      <c r="AF229" s="24" t="n"/>
      <c r="AG229" s="24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</row>
    <row r="230" ht="12.75" customHeight="1" s="110">
      <c r="C230" s="28" t="inlineStr">
        <is>
          <t>Suma Parcial</t>
        </is>
      </c>
      <c r="D230" s="28" t="n"/>
      <c r="E230" s="28" t="n"/>
      <c r="F230" s="25">
        <f>SUM(F210:F229)</f>
        <v/>
      </c>
      <c r="G230" s="24" t="n"/>
      <c r="H230" s="24" t="n"/>
      <c r="I230" s="24" t="n"/>
      <c r="J230" s="24" t="n"/>
      <c r="K230" s="25">
        <f>SUM(K210:K229)</f>
        <v/>
      </c>
      <c r="L230" s="24" t="n"/>
      <c r="M230" s="24" t="n"/>
      <c r="N230" s="24" t="n"/>
      <c r="O230" s="24" t="n"/>
      <c r="P230" s="25">
        <f>SUM(P210:P229)</f>
        <v/>
      </c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  <c r="AC230" s="24" t="n"/>
      <c r="AD230" s="24" t="n"/>
      <c r="AE230" s="24" t="n"/>
      <c r="AF230" s="24" t="n"/>
      <c r="AG230" s="24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</row>
    <row r="231" ht="12.75" customHeight="1" s="110">
      <c r="C231" s="25" t="inlineStr">
        <is>
          <t>Escalas Suplementarias</t>
        </is>
      </c>
      <c r="D231" s="25" t="n"/>
      <c r="E231" s="25" t="n"/>
      <c r="F231" s="25" t="n"/>
      <c r="G231" s="25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  <c r="AA231" s="24" t="n"/>
      <c r="AB231" s="24" t="n"/>
      <c r="AC231" s="24" t="n"/>
      <c r="AD231" s="24" t="n"/>
      <c r="AE231" s="24" t="n"/>
      <c r="AF231" s="24" t="n"/>
      <c r="AG231" s="24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</row>
    <row r="232" ht="12.75" customHeight="1" s="110">
      <c r="C232" s="25" t="inlineStr">
        <is>
          <t>Escala PK (Estrés postraumático)</t>
        </is>
      </c>
      <c r="D232" s="25" t="n"/>
      <c r="E232" s="25" t="n"/>
      <c r="F232" s="25" t="n"/>
      <c r="G232" s="25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5" t="inlineStr">
        <is>
          <t>Suma Parcial</t>
        </is>
      </c>
      <c r="X232" s="25" t="inlineStr">
        <is>
          <t>Suma Total</t>
        </is>
      </c>
      <c r="Y232" s="24" t="n"/>
      <c r="Z232" s="24" t="n"/>
      <c r="AA232" s="24" t="n"/>
      <c r="AB232" s="24" t="n"/>
      <c r="AC232" s="24" t="n"/>
      <c r="AD232" s="24" t="n"/>
      <c r="AE232" s="24" t="n"/>
      <c r="AF232" s="24" t="n"/>
      <c r="AG232" s="24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</row>
    <row r="233" ht="12.75" customHeight="1" s="110">
      <c r="C233" s="24">
        <f>IF(D23=1,1,IF(D23=2,0,0))</f>
        <v/>
      </c>
      <c r="D233" s="24">
        <f>IF(D24=1,1,IF(D24=2,0,0))</f>
        <v/>
      </c>
      <c r="E233" s="24">
        <f>IF(D29=1,1,IF(D29=2,0,0))</f>
        <v/>
      </c>
      <c r="F233" s="24">
        <f>IF(D30=1,1,IF(D30=2,0,0))</f>
        <v/>
      </c>
      <c r="G233" s="24">
        <f>IF(D37=1,1,IF(D37=2,0,0))</f>
        <v/>
      </c>
      <c r="H233" s="24">
        <f>IF(D38=1,1,IF(D38=2,0,0))</f>
        <v/>
      </c>
      <c r="I233" s="24">
        <f>IF(D39=1,1,IF(D39=2,0,0))</f>
        <v/>
      </c>
      <c r="J233" s="24">
        <f>IF(D44=1,1,IF(D44=2,0,0))</f>
        <v/>
      </c>
      <c r="K233" s="24">
        <f>IF(D46=1,1,IF(D46=2,0,0))</f>
        <v/>
      </c>
      <c r="L233" s="24">
        <f>IF(D55=1,1,IF(D55=2,0,0))</f>
        <v/>
      </c>
      <c r="M233" s="24">
        <f>IF(D59=1,1,IF(D59=2,0,0))</f>
        <v/>
      </c>
      <c r="N233" s="24">
        <f>IF(D63=1,1,IF(D63=2,0,0))</f>
        <v/>
      </c>
      <c r="O233" s="24">
        <f>IF(D66=1,1,IF(D66=2,0,0))</f>
        <v/>
      </c>
      <c r="P233" s="24">
        <f>IF(F12=1,1,IF(F12=2,0,0))</f>
        <v/>
      </c>
      <c r="Q233" s="24">
        <f>IF(F29=1,1,IF(F29=2,0,0))</f>
        <v/>
      </c>
      <c r="R233" s="24">
        <f>IF(F32=1,1,IF(F32=2,0,0))</f>
        <v/>
      </c>
      <c r="S233" s="24">
        <f>IF(F39=1,1,IF(F39=2,0,0))</f>
        <v/>
      </c>
      <c r="T233" s="24">
        <f>IF(F41=1,1,IF(F41=2,0,0))</f>
        <v/>
      </c>
      <c r="U233" s="24">
        <f>IF(F48=1,1,IF(F48=2,0,0))</f>
        <v/>
      </c>
      <c r="V233" s="24" t="n"/>
      <c r="W233" s="25">
        <f>SUM(C233:V233)</f>
        <v/>
      </c>
      <c r="X233" s="25" t="n"/>
      <c r="Y233" s="24" t="n"/>
      <c r="Z233" s="24" t="n"/>
      <c r="AA233" s="24" t="n"/>
      <c r="AB233" s="24" t="n"/>
      <c r="AC233" s="24" t="n"/>
      <c r="AD233" s="24" t="n"/>
      <c r="AE233" s="24" t="n"/>
      <c r="AF233" s="24" t="n"/>
      <c r="AG233" s="24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</row>
    <row r="234" ht="12.75" customHeight="1" s="110">
      <c r="C234" s="24">
        <f>IF(H22=1,1,IF(H22=2,0,0))</f>
        <v/>
      </c>
      <c r="D234" s="24">
        <f>IF(H37=1,1,IF(H37=2,0,0))</f>
        <v/>
      </c>
      <c r="E234" s="24">
        <f>IF(H55=1,1,IF(H55=2,0,0))</f>
        <v/>
      </c>
      <c r="F234" s="24">
        <f>IF(H57=1,1,IF(H57=2,0,0))</f>
        <v/>
      </c>
      <c r="G234" s="24">
        <f>IF(J23=1,1,IF(J23=2,0,0))</f>
        <v/>
      </c>
      <c r="H234" s="24">
        <f>IF(J48=1,1,IF(J48=2,0,0))</f>
        <v/>
      </c>
      <c r="I234" s="24">
        <f>IF(L41=1,1,IF(L41=2,0,0))</f>
        <v/>
      </c>
      <c r="J234" s="24">
        <f>IF(L44=1,1,IF(L44=2,0,0))</f>
        <v/>
      </c>
      <c r="K234" s="24">
        <f>IF(N9=1,1,IF(N9=2,0,0))</f>
        <v/>
      </c>
      <c r="L234" s="24">
        <f>IF(N10=1,1,IF(N10=2,0,0))</f>
        <v/>
      </c>
      <c r="M234" s="24">
        <f>IF(N12=1,1,IF(N12=2,0,0))</f>
        <v/>
      </c>
      <c r="N234" s="24">
        <f>IF(N23=1,1,IF(N23=2,0,0))</f>
        <v/>
      </c>
      <c r="O234" s="24">
        <f>IF(N26=1,1,IF(N26=2,0,0))</f>
        <v/>
      </c>
      <c r="P234" s="24">
        <f>IF(N34=1,1,IF(N34=2,0,0))</f>
        <v/>
      </c>
      <c r="Q234" s="24">
        <f>IF(N35=1,1,IF(N35=2,0,0))</f>
        <v/>
      </c>
      <c r="R234" s="24">
        <f>IF(N46=1,1,IF(N46=2,0,0))</f>
        <v/>
      </c>
      <c r="S234" s="24">
        <f>IF(N54=1,1,IF(N54=2,0,0))</f>
        <v/>
      </c>
      <c r="T234" s="24">
        <f>IF(N56=1,1,IF(N56=2,0,0))</f>
        <v/>
      </c>
      <c r="U234" s="24">
        <f>IF(P14=1,1,IF(P14=2,0,0))</f>
        <v/>
      </c>
      <c r="V234" s="24" t="n"/>
      <c r="W234" s="25">
        <f>SUM(C234:V234)</f>
        <v/>
      </c>
      <c r="X234" s="25" t="n"/>
      <c r="Y234" s="24" t="n"/>
      <c r="Z234" s="24" t="n"/>
      <c r="AA234" s="24" t="n"/>
      <c r="AB234" s="24" t="n"/>
      <c r="AC234" s="24" t="n"/>
      <c r="AD234" s="24" t="n"/>
      <c r="AE234" s="24" t="n"/>
      <c r="AF234" s="24" t="n"/>
      <c r="AG234" s="24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</row>
    <row r="235" ht="12.75" customHeight="1" s="110">
      <c r="C235" s="24">
        <f>IF(D9=1,0,IF(D9=2,1,0))</f>
        <v/>
      </c>
      <c r="D235" s="24">
        <f>IF(D10=1,0,IF(D10=2,1,0))</f>
        <v/>
      </c>
      <c r="E235" s="24">
        <f>IF(D16=1,0,IF(D16=2,1,0))</f>
        <v/>
      </c>
      <c r="F235" s="24">
        <f>IF(D56=1,0,IF(D56=2,1,0))</f>
        <v/>
      </c>
      <c r="G235" s="24">
        <f>IF(F22=1,0,IF(F22=2,1,0))</f>
        <v/>
      </c>
      <c r="H235" s="24">
        <f>IF(F42=1,0,IF(F42=2,1,0))</f>
        <v/>
      </c>
      <c r="I235" s="24">
        <f>IF(H12=1,0,IF(H12=2,1,0))</f>
        <v/>
      </c>
      <c r="J235" s="24">
        <f>IF(H27=1,0,IF(H27=2,1,0))</f>
        <v/>
      </c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5">
        <f>SUM(C235:U235)</f>
        <v/>
      </c>
      <c r="X235" s="25">
        <f>SUM(W233:W235)</f>
        <v/>
      </c>
      <c r="Y235" s="24" t="n"/>
      <c r="Z235" s="24" t="n"/>
      <c r="AA235" s="24" t="n"/>
      <c r="AB235" s="24" t="n"/>
      <c r="AC235" s="24" t="n"/>
      <c r="AD235" s="24" t="n"/>
      <c r="AE235" s="24" t="n"/>
      <c r="AF235" s="24" t="n"/>
      <c r="AG235" s="24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</row>
    <row r="236" ht="12.75" customHeight="1" s="110">
      <c r="C236" s="25" t="inlineStr">
        <is>
          <t>Puntuaciones Típicas</t>
        </is>
      </c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  <c r="AA236" s="24" t="n"/>
      <c r="AB236" s="24" t="n"/>
      <c r="AC236" s="24" t="n"/>
      <c r="AD236" s="24" t="n"/>
      <c r="AE236" s="24" t="n"/>
      <c r="AF236" s="24" t="n"/>
      <c r="AG236" s="24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</row>
    <row r="237" ht="12.75" customHeight="1" s="110">
      <c r="C237" s="24">
        <f>IF(X235=0,37,IF(X235=1,38,IF(X235=2,40,IF(X235=3,42,IF(X235=4,43,IF(X235=5,45,IF(X235=6,47,0)))))))</f>
        <v/>
      </c>
      <c r="D237" s="24">
        <f>IF(X235=7,48,IF(X235=8,50,IF(X235=9,52,IF(X235=10,53,IF(X235=11,55,IF(X235=12,57,IF(X235=13,58,0)))))))</f>
        <v/>
      </c>
      <c r="E237" s="24">
        <f>IF(X235=14,60,IF(X235=15,62,IF(X235=16,63,IF(X235=17,65,IF(X235=18,67,IF(X235=19,68,IF(X235=20,70,0)))))))</f>
        <v/>
      </c>
      <c r="F237" s="24">
        <f>IF(X235=21,72,IF(X235=22,73,IF(X235=23,75,IF(X235=24,77,IF(X235=25,78,IF(X235=26,80,IF(X235=27,82,0)))))))</f>
        <v/>
      </c>
      <c r="G237" s="24">
        <f>IF(X235=28,83,IF(X235=29,85,IF(X235=30,87,IF(X235=31,88,IF(X235=32,90,IF(X235=33,92,IF(X235=34,93,0)))))))</f>
        <v/>
      </c>
      <c r="H237" s="24">
        <f>IF(X235=35,95,IF(X235=36,97,IF(X235=37,98,IF(X235=38,100,IF(X235=39,102,IF(X235=40,103,IF(X235=41,105,0)))))))</f>
        <v/>
      </c>
      <c r="I237" s="24">
        <f>IF(X235=42,107,IF(X235=43,108,IF(X235=44,110,IF(X235=46,112,IF(X235&gt;=47,113,0)))))</f>
        <v/>
      </c>
      <c r="J237" s="24" t="n"/>
      <c r="K237" s="24" t="n"/>
      <c r="L237" s="24" t="n"/>
      <c r="M237" s="24" t="n"/>
      <c r="N237" s="24" t="n"/>
      <c r="O237" s="24" t="n"/>
      <c r="P237" s="25">
        <f>SUM(C237:O237)</f>
        <v/>
      </c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  <c r="AC237" s="24" t="n"/>
      <c r="AD237" s="24" t="n"/>
      <c r="AE237" s="24" t="n"/>
      <c r="AF237" s="24" t="n"/>
      <c r="AG237" s="24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</row>
    <row r="238" ht="12.75" customHeight="1" s="110"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  <c r="AC238" s="24" t="n"/>
      <c r="AD238" s="24" t="n"/>
      <c r="AE238" s="24" t="n"/>
      <c r="AF238" s="24" t="n"/>
      <c r="AG238" s="24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</row>
    <row r="239" ht="12.75" customHeight="1" s="110">
      <c r="C239" s="25" t="inlineStr">
        <is>
          <t>Escala A (Ansiedad)</t>
        </is>
      </c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  <c r="AC239" s="24" t="n"/>
      <c r="AD239" s="24" t="n"/>
      <c r="AE239" s="24" t="n"/>
      <c r="AF239" s="24" t="n"/>
      <c r="AG239" s="24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</row>
    <row r="240" ht="12.75" customHeight="1" s="110">
      <c r="C240" s="24">
        <f>IF(D38=1,1,IF(D38=2,0,0))</f>
        <v/>
      </c>
      <c r="D240" s="24">
        <f>IF(D45=1,1,IF(D45=2,0,0))</f>
        <v/>
      </c>
      <c r="E240" s="24">
        <f>IF(D63=1,1,IF(D63=2,0,0))</f>
        <v/>
      </c>
      <c r="F240" s="24">
        <f>IF(F12=1,1,IF(F12=2,0,0))</f>
        <v/>
      </c>
      <c r="G240" s="24">
        <f>IF(F29=1,1,IF(F29=2,0,0))</f>
        <v/>
      </c>
      <c r="H240" s="24">
        <f>IF(H14=1,1,IF(H14=2,0,0))</f>
        <v/>
      </c>
      <c r="I240" s="24">
        <f>IF(H22=1,1,IF(H22=2,0,0))</f>
        <v/>
      </c>
      <c r="J240" s="24">
        <f>IF(J42=1,1,IF(J42=2,0,0))</f>
        <v/>
      </c>
      <c r="K240" s="24">
        <f>IF(J60=1,1,IF(J60=2,0,0))</f>
        <v/>
      </c>
      <c r="L240" s="24">
        <f>IF(L10=1,1,IF(L10=2,0,0))</f>
        <v/>
      </c>
      <c r="M240" s="24">
        <f>IF(L18=1,1,IF(L18=2,0,0))</f>
        <v/>
      </c>
      <c r="N240" s="24">
        <f>IF(L40=1,1,IF(L40=2,0,0))</f>
        <v/>
      </c>
      <c r="O240" s="24">
        <f>IF(L44=1,1,IF(L44=2,0,0))</f>
        <v/>
      </c>
      <c r="P240" s="24">
        <f>IF(L56=1,1,IF(L56=2,0,0))</f>
        <v/>
      </c>
      <c r="Q240" s="24">
        <f>IF(N8=1,1,IF(N8=2,0,0))</f>
        <v/>
      </c>
      <c r="R240" s="24">
        <f>IF(N16=1,1,IF(N16=2,0,0))</f>
        <v/>
      </c>
      <c r="S240" s="24">
        <f>IF(N17=1,1,IF(N17=2,0,0))</f>
        <v/>
      </c>
      <c r="T240" s="24">
        <f>IF(N18=1,1,IF(N18=2,0,0))</f>
        <v/>
      </c>
      <c r="U240" s="24">
        <f>IF(N32=1,1,IF(N32=2,0,0))</f>
        <v/>
      </c>
      <c r="V240" s="24" t="n"/>
      <c r="W240" s="25">
        <f>SUM(C240:V240)</f>
        <v/>
      </c>
      <c r="X240" s="25" t="n"/>
      <c r="Y240" s="24" t="n"/>
      <c r="Z240" s="24" t="n"/>
      <c r="AA240" s="24" t="n"/>
      <c r="AB240" s="24" t="n"/>
      <c r="AC240" s="24" t="n"/>
      <c r="AD240" s="24" t="n"/>
      <c r="AE240" s="24" t="n"/>
      <c r="AF240" s="24" t="n"/>
      <c r="AG240" s="24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</row>
    <row r="241" ht="12.75" customHeight="1" s="110">
      <c r="C241" s="24">
        <f>IF(N35=1,1,IF(N35=2,0,0))</f>
        <v/>
      </c>
      <c r="D241" s="24">
        <f>IF(N45=1,1,IF(N45=2,0,0))</f>
        <v/>
      </c>
      <c r="E241" s="24">
        <f>IF(N46=1,1,IF(N46=2,0,0))</f>
        <v/>
      </c>
      <c r="F241" s="24">
        <f>IF(N48=1,1,IF(N48=2,0,0))</f>
        <v/>
      </c>
      <c r="G241" s="24">
        <f>IF(N54=1,1,IF(N54=2,0,0))</f>
        <v/>
      </c>
      <c r="H241" s="24">
        <f>IF(P37=1,1,IF(P37=2,0,0))</f>
        <v/>
      </c>
      <c r="I241" s="24">
        <f>IF(P38=1,1,IF(P38=2,0,0))</f>
        <v/>
      </c>
      <c r="J241" s="24">
        <f>IF(P41=1,1,IF(P41=2,0,0))</f>
        <v/>
      </c>
      <c r="K241" s="24">
        <f>IF(P47=1,1,IF(P47=2,0,0))</f>
        <v/>
      </c>
      <c r="L241" s="24">
        <f>IF(P55=1,1,IF(P55=2,0,0))</f>
        <v/>
      </c>
      <c r="M241" s="24">
        <f>IF(P58=1,1,IF(P58=2,0,0))</f>
        <v/>
      </c>
      <c r="N241" s="24">
        <f>IF(P62=1,1,IF(P62=2,0,0))</f>
        <v/>
      </c>
      <c r="O241" s="24">
        <f>IF(R8=1,1,IF(R8=2,0,0))</f>
        <v/>
      </c>
      <c r="P241" s="24">
        <f>IF(R15=1,1,IF(R15=2,0,0))</f>
        <v/>
      </c>
      <c r="Q241" s="24">
        <f>IF(R29=1,1,IF(R29=2,0,0))</f>
        <v/>
      </c>
      <c r="R241" s="24">
        <f>IF(R35=1,1,IF(R35=2,0,0))</f>
        <v/>
      </c>
      <c r="S241" s="24">
        <f>IF(R38=1,1,IF(R38=2,0,0))</f>
        <v/>
      </c>
      <c r="T241" s="24">
        <f>IF(R51=1,1,IF(R51=2,0,0))</f>
        <v/>
      </c>
      <c r="U241" s="24">
        <f>IF(R56=1,1,IF(R56=2,0,0))</f>
        <v/>
      </c>
      <c r="V241" s="24" t="n"/>
      <c r="W241" s="25">
        <f>SUM(C241:V241)</f>
        <v/>
      </c>
      <c r="X241" s="25" t="n"/>
      <c r="Y241" s="24" t="n"/>
      <c r="Z241" s="24" t="n"/>
      <c r="AA241" s="24" t="n"/>
      <c r="AB241" s="24" t="n"/>
      <c r="AC241" s="24" t="n"/>
      <c r="AD241" s="24" t="n"/>
      <c r="AE241" s="24" t="n"/>
      <c r="AF241" s="24" t="n"/>
      <c r="AG241" s="24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</row>
    <row r="242" ht="12.75" customHeight="1" s="110">
      <c r="C242" s="24">
        <f>IF(P35=1,0,IF(P35=2,1,0))</f>
        <v/>
      </c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5">
        <f>SUM(C242:V242)</f>
        <v/>
      </c>
      <c r="X242" s="25">
        <f>SUM(W240:W242)</f>
        <v/>
      </c>
      <c r="Y242" s="24" t="n"/>
      <c r="Z242" s="24" t="n"/>
      <c r="AA242" s="24" t="n"/>
      <c r="AB242" s="24" t="n"/>
      <c r="AC242" s="24" t="n"/>
      <c r="AD242" s="24" t="n"/>
      <c r="AE242" s="24" t="n"/>
      <c r="AF242" s="24" t="n"/>
      <c r="AG242" s="24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</row>
    <row r="243" ht="12.75" customHeight="1" s="110">
      <c r="C243" s="25" t="inlineStr">
        <is>
          <t>Puntuaciones Típicas</t>
        </is>
      </c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  <c r="AC243" s="24" t="n"/>
      <c r="AD243" s="24" t="n"/>
      <c r="AE243" s="24" t="n"/>
      <c r="AF243" s="24" t="n"/>
      <c r="AG243" s="24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</row>
    <row r="244" ht="12.75" customHeight="1" s="110">
      <c r="C244" s="24">
        <f>IF(X242=0,36,IF(X242=1,37,IF(X242=2,39,IF(X242=3,40,IF(X242=4,42,IF(X242=5,43,IF(X242=6,44,0)))))))</f>
        <v/>
      </c>
      <c r="D244" s="24">
        <f>IF(X242=7,46,IF(X242=8,47,IF(X242=9,49,IF(X242=10,50,IF(X242=11,51,IF(X242=12,53,IF(X242=13,54,0)))))))</f>
        <v/>
      </c>
      <c r="E244" s="24">
        <f>IF(X242=14,56,IF(X242=15,57,IF(X242=16,58,IF(X242=17,60,IF(X242=18,61,IF(X242=19,63,IF(X242=20,64,0)))))))</f>
        <v/>
      </c>
      <c r="F244" s="24">
        <f>IF(X242=21,65,IF(X242=22,67,IF(X242=23,68,IF(X242=24,70,IF(X242=25,71,IF(X242=26,73,IF(X242=27,74,0)))))))</f>
        <v/>
      </c>
      <c r="G244" s="24">
        <f>IF(X242=28,75,IF(X242=29,77,IF(X242=30,78,IF(X242=31,80,IF(X242=32,81,IF(X242=33,82,IF(X242=34,84,0)))))))</f>
        <v/>
      </c>
      <c r="H244" s="24">
        <f>IF(X242=35,85,IF(X242=36,87,IF(X242=37,88,IF(X242=38,89,IF(X242&gt;=39,91,0)))))</f>
        <v/>
      </c>
      <c r="I244" s="24" t="n"/>
      <c r="J244" s="24" t="n"/>
      <c r="K244" s="24" t="n"/>
      <c r="L244" s="24" t="n"/>
      <c r="M244" s="24" t="n"/>
      <c r="N244" s="24" t="n"/>
      <c r="O244" s="24" t="n"/>
      <c r="P244" s="25">
        <f>SUM(C244:O244)</f>
        <v/>
      </c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  <c r="AA244" s="24" t="n"/>
      <c r="AB244" s="24" t="n"/>
      <c r="AC244" s="24" t="n"/>
      <c r="AD244" s="24" t="n"/>
      <c r="AE244" s="24" t="n"/>
      <c r="AF244" s="24" t="n"/>
      <c r="AG244" s="24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</row>
    <row r="245" ht="12.75" customHeight="1" s="110"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  <c r="AC245" s="24" t="n"/>
      <c r="AD245" s="24" t="n"/>
      <c r="AE245" s="24" t="n"/>
      <c r="AF245" s="24" t="n"/>
      <c r="AG245" s="24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</row>
    <row r="246" ht="12.75" customHeight="1" s="110">
      <c r="C246" s="25" t="inlineStr">
        <is>
          <t>Escala R (Represión)</t>
        </is>
      </c>
      <c r="D246" s="25" t="n"/>
      <c r="E246" s="25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  <c r="AC246" s="24" t="n"/>
      <c r="AD246" s="24" t="n"/>
      <c r="AE246" s="24" t="n"/>
      <c r="AF246" s="24" t="n"/>
      <c r="AG246" s="24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</row>
    <row r="247" ht="12.75" customHeight="1" s="110">
      <c r="C247" s="24">
        <f>IF(D8=1,0,IF(D8=2,1,0))</f>
        <v/>
      </c>
      <c r="D247" s="24">
        <f>IF(D14=1,0,IF(D14=2,1,0))</f>
        <v/>
      </c>
      <c r="E247" s="24">
        <f>IF(D17=1,0,IF(D17=2,1,0))</f>
        <v/>
      </c>
      <c r="F247" s="24">
        <f>IF(D21=1,0,IF(D21=2,1,0))</f>
        <v/>
      </c>
      <c r="G247" s="24">
        <f>IF(D44=1,0,IF(D44=2,1,0))</f>
        <v/>
      </c>
      <c r="H247" s="24">
        <f>IF(D52=1,0,IF(D52=2,1,0))</f>
        <v/>
      </c>
      <c r="I247" s="24">
        <f>IF(F16=1,0,IF(F16=2,1,0))</f>
        <v/>
      </c>
      <c r="J247" s="24">
        <f>IF(F59=1,0,IF(F59=2,1,0))</f>
        <v/>
      </c>
      <c r="K247" s="24">
        <f>IF(F65=1,0,IF(F65=2,1,0))</f>
        <v/>
      </c>
      <c r="L247" s="24">
        <f>IF(F67=1,0,IF(F67=2,1,0))</f>
        <v/>
      </c>
      <c r="M247" s="24">
        <f>IF(H15=1,0,IF(H15=2,1,0))</f>
        <v/>
      </c>
      <c r="N247" s="24">
        <f>IF(H21=1,0,IF(H21=2,1,0))</f>
        <v/>
      </c>
      <c r="O247" s="24">
        <f>IF(H29=1,0,IF(H29=2,1,0))</f>
        <v/>
      </c>
      <c r="P247" s="24">
        <f>IF(H55=1,0,IF(H55=2,1,0))</f>
        <v/>
      </c>
      <c r="Q247" s="24">
        <f>IF(H65=1,0,IF(H65=2,1,0))</f>
        <v/>
      </c>
      <c r="R247" s="24">
        <f>IF(J16=1,0,IF(J16=2,1,0))</f>
        <v/>
      </c>
      <c r="S247" s="24">
        <f>IF(J24=1,0,IF(J24=2,1,0))</f>
        <v/>
      </c>
      <c r="T247" s="24">
        <f>IF(J26=1,0,IF(J26=2,1,0))</f>
        <v/>
      </c>
      <c r="U247" s="24">
        <f>IF(L15=1,0,IF(L15=2,1,0))</f>
        <v/>
      </c>
      <c r="V247" s="24" t="n"/>
      <c r="W247" s="25">
        <f>SUM(C247:V247)</f>
        <v/>
      </c>
      <c r="X247" s="25" t="n"/>
      <c r="Y247" s="24" t="n"/>
      <c r="Z247" s="24" t="n"/>
      <c r="AA247" s="24" t="n"/>
      <c r="AB247" s="24" t="n"/>
      <c r="AC247" s="24" t="n"/>
      <c r="AD247" s="24" t="n"/>
      <c r="AE247" s="24" t="n"/>
      <c r="AF247" s="24" t="n"/>
      <c r="AG247" s="24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</row>
    <row r="248" ht="12.75" customHeight="1" s="110">
      <c r="C248" s="24">
        <f>IF(L22=1,0,IF(L22=2,1,0))</f>
        <v/>
      </c>
      <c r="D248" s="24">
        <f>IF(L23=1,0,IF(L23=2,1,0))</f>
        <v/>
      </c>
      <c r="E248" s="24">
        <f>IF(L64=1,0,IF(L64=2,1,0))</f>
        <v/>
      </c>
      <c r="F248" s="24">
        <f>IF(N37=1,0,IF(N37=2,1,0))</f>
        <v/>
      </c>
      <c r="G248" s="24">
        <f>IF(N53=1,0,IF(N53=2,1,0))</f>
        <v/>
      </c>
      <c r="H248" s="24">
        <f>IF(N57=1,0,IF(N57=2,1,0))</f>
        <v/>
      </c>
      <c r="I248" s="24">
        <f>IF(N60=1,0,IF(N60=2,1,0))</f>
        <v/>
      </c>
      <c r="J248" s="24">
        <f>IF(N61=1,0,IF(N61=2,1,0))</f>
        <v/>
      </c>
      <c r="K248" s="24">
        <f>IF(N66=1,0,IF(N66=2,1,0))</f>
        <v/>
      </c>
      <c r="L248" s="24">
        <f>IF(P10=1,0,IF(P10=2,1,0))</f>
        <v/>
      </c>
      <c r="M248" s="24">
        <f>IF(P12=1,0,IF(P12=2,1,0))</f>
        <v/>
      </c>
      <c r="N248" s="24">
        <f>IF(R9=1,0,IF(R9=2,1,0))</f>
        <v/>
      </c>
      <c r="O248" s="24">
        <f>IF(R10=1,0,IF(R10=2,1,0))</f>
        <v/>
      </c>
      <c r="P248" s="24">
        <f>IF(R17=1,0,IF(R17=2,1,0))</f>
        <v/>
      </c>
      <c r="Q248" s="24">
        <f>IF(R19=1,0,IF(R19=2,1,0))</f>
        <v/>
      </c>
      <c r="R248" s="24">
        <f>IF(R36=1,0,IF(R36=2,1,0))</f>
        <v/>
      </c>
      <c r="S248" s="24">
        <f>IF(R43=1,0,IF(R43=2,1,0))</f>
        <v/>
      </c>
      <c r="T248" s="24">
        <f>IF(R52=1,0,IF(R52=2,1,0))</f>
        <v/>
      </c>
      <c r="U248" s="24" t="n"/>
      <c r="V248" s="24" t="n"/>
      <c r="W248" s="25">
        <f>SUM(C248:V248)</f>
        <v/>
      </c>
      <c r="X248" s="25">
        <f>SUM(W247:W248)</f>
        <v/>
      </c>
      <c r="Y248" s="24" t="n"/>
      <c r="Z248" s="24" t="n"/>
      <c r="AA248" s="24" t="n"/>
      <c r="AB248" s="24" t="n"/>
      <c r="AC248" s="24" t="n"/>
      <c r="AD248" s="24" t="n"/>
      <c r="AE248" s="24" t="n"/>
      <c r="AF248" s="24" t="n"/>
      <c r="AG248" s="24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</row>
    <row r="249" ht="12.75" customHeight="1" s="110">
      <c r="C249" s="25" t="inlineStr">
        <is>
          <t>Puntuaciones Típicas</t>
        </is>
      </c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  <c r="AC249" s="24" t="n"/>
      <c r="AD249" s="24" t="n"/>
      <c r="AE249" s="24" t="n"/>
      <c r="AF249" s="24" t="n"/>
      <c r="AG249" s="24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</row>
    <row r="250" ht="12.75" customHeight="1" s="110">
      <c r="C250" s="24">
        <f>IF(X248&lt;=5,30,IF(X248=6,30,IF(X248=7,32,IF(X248=8,34,IF(X248=9,36,IF(X248=10,39,IF(X248=11,41,0)))))))</f>
        <v/>
      </c>
      <c r="D250" s="24">
        <f>IF(X248=12,43,IF(X248=13,45,IF(X248=14,47,IF(X248=15,50,IF(X248=16,52,IF(X248=17,54,IF(X248=18,56,0)))))))</f>
        <v/>
      </c>
      <c r="E250" s="24">
        <f>IF(X248=19,58,IF(X248=20,61,IF(X248=21,63,IF(X248=22,65,IF(X248=23,67,IF(X248=24,69,IF(X248=25,72,0)))))))</f>
        <v/>
      </c>
      <c r="F250" s="24">
        <f>IF(X248=26,74,IF(X248=27,76,IF(X248=28,78,IF(X248=29,81,IF(X248=30,83,IF(X248=31,85,IF(X248=32,87,0)))))))</f>
        <v/>
      </c>
      <c r="G250" s="24">
        <f>IF(X248=33,89,IF(X248=34,92,IF(X248=35,94,IF(X248=36,96,IF(X248&gt;=37,98,0)))))</f>
        <v/>
      </c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5">
        <f>SUM(C250:O250)</f>
        <v/>
      </c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  <c r="AC250" s="24" t="n"/>
      <c r="AD250" s="24" t="n"/>
      <c r="AE250" s="24" t="n"/>
      <c r="AF250" s="24" t="n"/>
      <c r="AG250" s="24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</row>
    <row r="251" ht="12.75" customHeight="1" s="110"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  <c r="AA251" s="24" t="n"/>
      <c r="AB251" s="24" t="n"/>
      <c r="AC251" s="24" t="n"/>
      <c r="AD251" s="24" t="n"/>
      <c r="AE251" s="24" t="n"/>
      <c r="AF251" s="24" t="n"/>
      <c r="AG251" s="24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</row>
    <row r="252" ht="12.75" customHeight="1" s="110">
      <c r="C252" s="25" t="inlineStr">
        <is>
          <t>Escala Es (Fuerza del Yo)</t>
        </is>
      </c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  <c r="AC252" s="24" t="n"/>
      <c r="AD252" s="24" t="n"/>
      <c r="AE252" s="24" t="n"/>
      <c r="AF252" s="24" t="n"/>
      <c r="AG252" s="24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</row>
    <row r="253" ht="12.75" customHeight="1" s="110">
      <c r="C253" s="24">
        <f>IF(D9=1,1,IF(D9=2,0,0))</f>
        <v/>
      </c>
      <c r="D253" s="24">
        <f>IF(D40=1,1,IF(D40=2,0,0))</f>
        <v/>
      </c>
      <c r="E253" s="24">
        <f>IF(D52=1,1,IF(D52=2,0,0))</f>
        <v/>
      </c>
      <c r="F253" s="24">
        <f>IF(F45=1,1,IF(F45=2,0,0))</f>
        <v/>
      </c>
      <c r="G253" s="24">
        <f>IF(H28=1,1,IF(H28=2,0,0))</f>
        <v/>
      </c>
      <c r="H253" s="24">
        <f>IF(H46=1,1,IF(H46=2,0,0))</f>
        <v/>
      </c>
      <c r="I253" s="24">
        <f>IF(H56=1,1,IF(H56=2,0,0))</f>
        <v/>
      </c>
      <c r="J253" s="24">
        <f>IF(H64=1,1,IF(H64=2,0,0))</f>
        <v/>
      </c>
      <c r="K253" s="24">
        <f>IF(H66=1,1,IF(H66=2,0,0))</f>
        <v/>
      </c>
      <c r="L253" s="24">
        <f>IF(J16=1,1,IF(J16=2,0,0))</f>
        <v/>
      </c>
      <c r="M253" s="24">
        <f>IF(J26=1,1,IF(J26=2,0,0))</f>
        <v/>
      </c>
      <c r="N253" s="24">
        <f>IF(J36=1,1,IF(J36=2,0,0))</f>
        <v/>
      </c>
      <c r="O253" s="24">
        <f>IF(J40=1,1,IF(J40=2,0,0))</f>
        <v/>
      </c>
      <c r="P253" s="24">
        <f>IF(J57=1,1,IF(J57=2,0,0))</f>
        <v/>
      </c>
      <c r="Q253" s="24">
        <f>IF(L12=1,1,IF(L12=2,0,0))</f>
        <v/>
      </c>
      <c r="R253" s="24">
        <f>IF(N30=1,1,IF(N30=2,0,0))</f>
        <v/>
      </c>
      <c r="S253" s="24">
        <f>IF(P32=1,1,IF(P32=2,0,0))</f>
        <v/>
      </c>
      <c r="T253" s="24">
        <f>IF(P53=1,1,IF(P53=2,0,0))</f>
        <v/>
      </c>
      <c r="U253" s="24">
        <f>IF(P60=1,1,IF(P60=2,0,0))</f>
        <v/>
      </c>
      <c r="V253" s="24" t="n"/>
      <c r="W253" s="25">
        <f>SUM(C253:V253)</f>
        <v/>
      </c>
      <c r="X253" s="25" t="n"/>
      <c r="Y253" s="24" t="n"/>
      <c r="Z253" s="24" t="n"/>
      <c r="AA253" s="24" t="n"/>
      <c r="AB253" s="24" t="n"/>
      <c r="AC253" s="24" t="n"/>
      <c r="AD253" s="24" t="n"/>
      <c r="AE253" s="24" t="n"/>
      <c r="AF253" s="24" t="n"/>
      <c r="AG253" s="24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</row>
    <row r="254" ht="12.75" customHeight="1" s="110">
      <c r="C254" s="24">
        <f>IF(R12=1,1,IF(R12=2,0,0))</f>
        <v/>
      </c>
      <c r="D254" s="24" t="n"/>
      <c r="E254" s="24">
        <f>IF(D30=1,0,IF(D30=2,1,0))</f>
        <v/>
      </c>
      <c r="F254" s="24">
        <f>IF(D38=1,0,IF(D38=2,1,0))</f>
        <v/>
      </c>
      <c r="G254" s="24">
        <f>IF(D39=1,0,IF(D39=2,1,0))</f>
        <v/>
      </c>
      <c r="H254" s="24">
        <f>IF(D43=1,0,IF(D43=2,1,0))</f>
        <v/>
      </c>
      <c r="I254" s="24">
        <f>IF(D46=1,0,IF(D46=2,1,0))</f>
        <v/>
      </c>
      <c r="J254" s="24">
        <f>IF(D60=1,0,IF(D60=2,1,0))</f>
        <v/>
      </c>
      <c r="K254" s="24">
        <f>IF(D67=1,0,IF(D67=2,1,0))</f>
        <v/>
      </c>
      <c r="L254" s="24">
        <f>IF(F17=1,0,IF(F17=2,1,0))</f>
        <v/>
      </c>
      <c r="M254" s="24">
        <f>IF(F29=1,0,IF(F29=2,1,0))</f>
        <v/>
      </c>
      <c r="N254" s="24">
        <f>IF(F34=1,0,IF(F34=2,1,0))</f>
        <v/>
      </c>
      <c r="O254" s="24">
        <f>IF(F66=1,0,IF(F66=2,1,0))</f>
        <v/>
      </c>
      <c r="P254" s="24">
        <f>IF(H15=1,0,IF(H15=2,1,0))</f>
        <v/>
      </c>
      <c r="Q254" s="24">
        <f>IF(H62=1,0,IF(H62=2,1,0))</f>
        <v/>
      </c>
      <c r="R254" s="24">
        <f>IF(J23=1,0,IF(J23=2,1,0))</f>
        <v/>
      </c>
      <c r="S254" s="24">
        <f>IF(J42=1,0,IF(J42=2,1,0))</f>
        <v/>
      </c>
      <c r="T254" s="24">
        <f>IF(J48=1,0,IF(J48=2,1,0))</f>
        <v/>
      </c>
      <c r="U254" s="24">
        <f>IF(J52=1,0,IF(J52=2,1,0))</f>
        <v/>
      </c>
      <c r="V254" s="24" t="n"/>
      <c r="W254" s="25">
        <f>SUM(C254:V254)</f>
        <v/>
      </c>
      <c r="X254" s="25" t="n"/>
      <c r="Y254" s="24" t="n"/>
      <c r="Z254" s="24" t="n"/>
      <c r="AA254" s="24" t="n"/>
      <c r="AB254" s="24" t="n"/>
      <c r="AC254" s="24" t="n"/>
      <c r="AD254" s="24" t="n"/>
      <c r="AE254" s="24" t="n"/>
      <c r="AF254" s="24" t="n"/>
      <c r="AG254" s="24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</row>
    <row r="255" ht="12.75" customHeight="1" s="110">
      <c r="C255" s="24">
        <f>IF(J56=1,0,IF(J56=2,1,0))</f>
        <v/>
      </c>
      <c r="D255" s="24">
        <f>IF(J63=1,0,IF(J63=2,1,0))</f>
        <v/>
      </c>
      <c r="E255" s="24">
        <f>IF(L13=1,0,IF(L13=2,1,0))</f>
        <v/>
      </c>
      <c r="F255" s="24">
        <f>IF(N14=1,0,IF(N14=2,1,0))</f>
        <v/>
      </c>
      <c r="G255" s="24">
        <f>IF(N17=1,0,IF(N17=2,1,0))</f>
        <v/>
      </c>
      <c r="H255" s="24">
        <f>IF(N23=1,0,IF(N23=2,1,0))</f>
        <v/>
      </c>
      <c r="I255" s="24">
        <f>IF(N35=1,0,IF(N35=2,1,0))</f>
        <v/>
      </c>
      <c r="J255" s="24">
        <f>IF(P38=1,0,IF(P38=2,1,0))</f>
        <v/>
      </c>
      <c r="K255" s="24">
        <f>IF(P41=1,0,IF(P41=2,1,0))</f>
        <v/>
      </c>
      <c r="L255" s="24">
        <f>IF(R28=1,0,IF(R28=2,1,0))</f>
        <v/>
      </c>
      <c r="M255" s="24">
        <f>IF(R34=1,0,IF(R34=2,1,0))</f>
        <v/>
      </c>
      <c r="N255" s="24">
        <f>IF(R45=1,0,IF(R45=2,1,0))</f>
        <v/>
      </c>
      <c r="O255" s="24">
        <f>IF(R51=1,0,IF(R51=2,1,0))</f>
        <v/>
      </c>
      <c r="P255" s="24">
        <f>IF(R56=1,0,IF(R56=2,1,0))</f>
        <v/>
      </c>
      <c r="Q255" s="24">
        <f>IF(R58=1,0,IF(R58=2,1,0))</f>
        <v/>
      </c>
      <c r="R255" s="24" t="n"/>
      <c r="S255" s="24" t="n"/>
      <c r="T255" s="24" t="n"/>
      <c r="U255" s="24" t="n"/>
      <c r="V255" s="24" t="n"/>
      <c r="W255" s="25">
        <f>SUM(C255:V255)</f>
        <v/>
      </c>
      <c r="X255" s="25">
        <f>SUM(W253:W255)</f>
        <v/>
      </c>
      <c r="Y255" s="24" t="n"/>
      <c r="Z255" s="24" t="n"/>
      <c r="AA255" s="24" t="n"/>
      <c r="AB255" s="24" t="n"/>
      <c r="AC255" s="24" t="n"/>
      <c r="AD255" s="24" t="n"/>
      <c r="AE255" s="24" t="n"/>
      <c r="AF255" s="24" t="n"/>
      <c r="AG255" s="24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</row>
    <row r="256" ht="12.75" customHeight="1" s="110">
      <c r="C256" s="25" t="inlineStr">
        <is>
          <t>Puntuaciones Típicas</t>
        </is>
      </c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  <c r="AC256" s="24" t="n"/>
      <c r="AD256" s="24" t="n"/>
      <c r="AE256" s="24" t="n"/>
      <c r="AF256" s="24" t="n"/>
      <c r="AG256" s="24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</row>
    <row r="257" ht="12.75" customHeight="1" s="110">
      <c r="C257" s="24">
        <f>IF(X255&lt;=27,30,IF(X255=28,30,IF(X255=29,31,IF(X255=30,34,IF(X255=31,36,IF(X255=32,38,IF(X255=33,40,0)))))))</f>
        <v/>
      </c>
      <c r="D257" s="24">
        <f>IF(X255=34,43,IF(X255=35,45,IF(X255=36,47,IF(X255=37,49,IF(X255=38,51,IF(X255=39,54,IF(X255=40,56,0)))))))</f>
        <v/>
      </c>
      <c r="E257" s="24">
        <f>IF(X255=41,58,IF(X255=42,60,IF(X255=43,63,IF(X255=44,65,IF(X255=45,67,IF(X255=46,69,IF(X255=47,72,0)))))))</f>
        <v/>
      </c>
      <c r="F257" s="24">
        <f>IF(X255=48,74,IF(X255=49,76,IF(X255=50,78,IF(X255=51,81,IF(X255&gt;=52,83,0)))))</f>
        <v/>
      </c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5">
        <f>SUM(C257:O257)</f>
        <v/>
      </c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  <c r="AC257" s="24" t="n"/>
      <c r="AD257" s="24" t="n"/>
      <c r="AE257" s="24" t="n"/>
      <c r="AF257" s="24" t="n"/>
      <c r="AG257" s="24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</row>
    <row r="258" ht="12.75" customHeight="1" s="110"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  <c r="AC258" s="24" t="n"/>
      <c r="AD258" s="24" t="n"/>
      <c r="AE258" s="24" t="n"/>
      <c r="AF258" s="24" t="n"/>
      <c r="AG258" s="24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</row>
    <row r="259" ht="12.75" customHeight="1" s="110">
      <c r="C259" s="25" t="inlineStr">
        <is>
          <t>Escala MAC-R (Alcoholismo de MacAndrew Revisada)</t>
        </is>
      </c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  <c r="AC259" s="24" t="n"/>
      <c r="AD259" s="24" t="n"/>
      <c r="AE259" s="24" t="n"/>
      <c r="AF259" s="24" t="n"/>
      <c r="AG259" s="24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</row>
    <row r="260" ht="12.75" customHeight="1" s="110">
      <c r="C260" s="24">
        <f>IF(D14=1,1,IF(D14=2,0,0))</f>
        <v/>
      </c>
      <c r="D260" s="24">
        <f>IF(D31=1,1,IF(D31=2,0,0))</f>
        <v/>
      </c>
      <c r="E260" s="24">
        <f>IF(D43=1,1,IF(D43=2,0,0))</f>
        <v/>
      </c>
      <c r="F260" s="24">
        <f>IF(D56=1,1,IF(D56=2,0,0))</f>
        <v/>
      </c>
      <c r="G260" s="24">
        <f>IF(D59=1,1,IF(D59=2,0,0))</f>
        <v/>
      </c>
      <c r="H260" s="24">
        <f>IF(F16=1,1,IF(F16=2,0,0))</f>
        <v/>
      </c>
      <c r="I260" s="24">
        <f>IF(F19=1,1,IF(F19=2,0,0))</f>
        <v/>
      </c>
      <c r="J260" s="24">
        <f>IF(F29=1,1,IF(F29=2,0,0))</f>
        <v/>
      </c>
      <c r="K260" s="24">
        <f>IF(F31=1,1,IF(F31=2,0,0))</f>
        <v/>
      </c>
      <c r="L260" s="24">
        <f>IF(F50=1,1,IF(F50=2,0,0))</f>
        <v/>
      </c>
      <c r="M260" s="24">
        <f>IF(F52=1,1,IF(F52=2,0,0))</f>
        <v/>
      </c>
      <c r="N260" s="24">
        <f>IF(F60=1,1,IF(F60=2,0,0))</f>
        <v/>
      </c>
      <c r="O260" s="24">
        <f>IF(F62=1,1,IF(F62=2,0,0))</f>
        <v/>
      </c>
      <c r="P260" s="24">
        <f>IF(H15=1,1,IF(H15=2,0,0))</f>
        <v/>
      </c>
      <c r="Q260" s="24">
        <f>IF(H55=1,1,IF(H55=2,0,0))</f>
        <v/>
      </c>
      <c r="R260" s="24">
        <f>IF(H59=1,1,IF(H59=2,0,0))</f>
        <v/>
      </c>
      <c r="S260" s="24">
        <f>IF(J29=1,1,IF(J29=2,0,0))</f>
        <v/>
      </c>
      <c r="T260" s="24">
        <f>IF(J41=1,1,IF(J41=2,0,0))</f>
        <v/>
      </c>
      <c r="U260" s="24">
        <f>IF(J51=1,1,IF(J51=2,0,0))</f>
        <v/>
      </c>
      <c r="V260" s="24" t="n"/>
      <c r="W260" s="25">
        <f>SUM(C260:V260)</f>
        <v/>
      </c>
      <c r="X260" s="25" t="n"/>
      <c r="Y260" s="24" t="n"/>
      <c r="Z260" s="24" t="n"/>
      <c r="AA260" s="24" t="n"/>
      <c r="AB260" s="24" t="n"/>
      <c r="AC260" s="24" t="n"/>
      <c r="AD260" s="24" t="n"/>
      <c r="AE260" s="24" t="n"/>
      <c r="AF260" s="24" t="n"/>
      <c r="AG260" s="24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</row>
    <row r="261" ht="12.75" customHeight="1" s="110">
      <c r="C261" s="24">
        <f>IF(J56=1,1,IF(J56=2,0,0))</f>
        <v/>
      </c>
      <c r="D261" s="24">
        <f>IF(J65=1,1,IF(J65=2,0,0))</f>
        <v/>
      </c>
      <c r="E261" s="24">
        <f>IF(L24=1,1,IF(L24=2,0,0))</f>
        <v/>
      </c>
      <c r="F261" s="24">
        <f>IF(L47=1,1,IF(L47=2,0,0))</f>
        <v/>
      </c>
      <c r="G261" s="24">
        <f>IF(N49=1,1,IF(N49=2,0,0))</f>
        <v/>
      </c>
      <c r="H261" s="24">
        <f>IF(N51=1,1,IF(N51=2,0,0))</f>
        <v/>
      </c>
      <c r="I261" s="24">
        <f>IF(P34=1,1,IF(P34=2,0,0))</f>
        <v/>
      </c>
      <c r="J261" s="24">
        <f>IF(P54=1,1,IF(P54=2,0,0))</f>
        <v/>
      </c>
      <c r="K261" s="24">
        <f>IF(P59=1,1,IF(P59=2,0,0))</f>
        <v/>
      </c>
      <c r="L261" s="24">
        <f>IF(P61=1,1,IF(P61=2,0,0))</f>
        <v/>
      </c>
      <c r="M261" s="24">
        <f>IF(R9=1,1,IF(R9=2,0,0))</f>
        <v/>
      </c>
      <c r="N261" s="24">
        <f>IF(R21=1,1,IF(R21=2,0,0))</f>
        <v/>
      </c>
      <c r="O261" s="24">
        <f>IF(R26=1,1,IF(R26=2,0,0))</f>
        <v/>
      </c>
      <c r="P261" s="24">
        <f>IF(R32=1,1,IF(R32=2,0,0))</f>
        <v/>
      </c>
      <c r="Q261" s="24">
        <f>IF(R43=1,1,IF(R43=2,0,0))</f>
        <v/>
      </c>
      <c r="R261" s="24">
        <f>IF(R60=1,1,IF(R60=2,0,0))</f>
        <v/>
      </c>
      <c r="S261" s="24">
        <f>IF(T29=1,1,IF(T29=2,0,0))</f>
        <v/>
      </c>
      <c r="T261" s="24">
        <f>IF(T33=1,1,IF(T33=2,0,0))</f>
        <v/>
      </c>
      <c r="U261" s="24">
        <f>IF(V16=1,1,IF(V16=2,0,0))</f>
        <v/>
      </c>
      <c r="V261" s="24" t="n"/>
      <c r="W261" s="25">
        <f>SUM(C261:V261)</f>
        <v/>
      </c>
      <c r="X261" s="25" t="n"/>
      <c r="Y261" s="24" t="n"/>
      <c r="Z261" s="24" t="n"/>
      <c r="AA261" s="24" t="n"/>
      <c r="AB261" s="24" t="n"/>
      <c r="AC261" s="24" t="n"/>
      <c r="AD261" s="24" t="n"/>
      <c r="AE261" s="24" t="n"/>
      <c r="AF261" s="24" t="n"/>
      <c r="AG261" s="24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</row>
    <row r="262" ht="12.75" customHeight="1" s="110">
      <c r="C262" s="24">
        <f>IF(F20=1,0,IF(F20=2,1,0))</f>
        <v/>
      </c>
      <c r="D262" s="24">
        <f>IF(F54=1,0,IF(F54=2,1,0))</f>
        <v/>
      </c>
      <c r="E262" s="24">
        <f>IF(F64=1,0,IF(F64=2,1,0))</f>
        <v/>
      </c>
      <c r="F262" s="24">
        <f>IF(H24=1,0,IF(H24=2,1,0))</f>
        <v/>
      </c>
      <c r="G262" s="24">
        <f>IF(H47=1,0,IF(H47=2,1,0))</f>
        <v/>
      </c>
      <c r="H262" s="24">
        <f>IF(H53=1,0,IF(H53=2,1,0))</f>
        <v/>
      </c>
      <c r="I262" s="24">
        <f>IF(L18=1,0,IF(L18=2,1,0))</f>
        <v/>
      </c>
      <c r="J262" s="24">
        <f>IF(L33=1,0,IF(L33=2,1,0))</f>
        <v/>
      </c>
      <c r="K262" s="24">
        <f>IF(L54=1,0,IF(L54=2,1,0))</f>
        <v/>
      </c>
      <c r="L262" s="24">
        <f>IF(L66=1,0,IF(L66=2,1,0))</f>
        <v/>
      </c>
      <c r="M262" s="24">
        <f>IF(N32=1,0,IF(N32=2,1,0))</f>
        <v/>
      </c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5">
        <f>SUM(C262:V262)</f>
        <v/>
      </c>
      <c r="X262" s="25">
        <f>SUM(W260:W262)</f>
        <v/>
      </c>
      <c r="Y262" s="24" t="n"/>
      <c r="Z262" s="24" t="n"/>
      <c r="AA262" s="24" t="n"/>
      <c r="AB262" s="24" t="n"/>
      <c r="AC262" s="24" t="n"/>
      <c r="AD262" s="24" t="n"/>
      <c r="AE262" s="24" t="n"/>
      <c r="AF262" s="24" t="n"/>
      <c r="AG262" s="24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</row>
    <row r="263" ht="12.75" customHeight="1" s="110">
      <c r="C263" s="25" t="inlineStr">
        <is>
          <t>Puntuaciones Típicas</t>
        </is>
      </c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inlineStr">
        <is>
          <t xml:space="preserve">                                                                       </t>
        </is>
      </c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  <c r="AA263" s="24" t="n"/>
      <c r="AB263" s="24" t="n"/>
      <c r="AC263" s="24" t="n"/>
      <c r="AD263" s="24" t="n"/>
      <c r="AE263" s="24" t="n"/>
      <c r="AF263" s="24" t="n"/>
      <c r="AG263" s="24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</row>
    <row r="264" ht="12.75" customHeight="1" s="110">
      <c r="C264" s="24">
        <f>IF(X262&lt;=12,30,IF(X262=13,32,IF(X262=14,34,IF(X262=15,37,IF(X262=16,39,IF(X262=17,41,IF(X262=18,44,0)))))))</f>
        <v/>
      </c>
      <c r="D264" s="24">
        <f>IF(X262=19,46,IF(X262=20,48,IF(X262=21,50,IF(X262=22,53,IF(X262=23,55,IF(X262=24,57,IF(X262=25,60,0)))))))</f>
        <v/>
      </c>
      <c r="E264" s="24">
        <f>IF(X262=26,62,IF(X262=27,64,IF(X262=28,66,IF(X262=29,69,IF(X262=30,71,IF(X262=31,73,IF(X262=32,76,0)))))))</f>
        <v/>
      </c>
      <c r="F264" s="24">
        <f>IF(X262=33,78,IF(X262=34,80,IF(X262=35,82,IF(X262=36,85,IF(X262=37,87,IF(X262=38,89,IF(X262=39,92,0)))))))</f>
        <v/>
      </c>
      <c r="G264" s="24">
        <f>IF(X262=40,94,IF(X262=41,96,IF(X262=42,98,IF(X262=43,101,IF(X262=44,103,IF(X262=45,105,IF(X262=46,108,0)))))))</f>
        <v/>
      </c>
      <c r="H264" s="24">
        <f>IF(X262=47,110,IF(X262=48,112,IF(X262&gt;=49,114,0)))</f>
        <v/>
      </c>
      <c r="I264" s="24" t="n"/>
      <c r="J264" s="24" t="n"/>
      <c r="K264" s="24" t="n"/>
      <c r="L264" s="24" t="n"/>
      <c r="M264" s="24" t="n"/>
      <c r="N264" s="24" t="n"/>
      <c r="O264" s="24" t="n"/>
      <c r="P264" s="25">
        <f>SUM(C264:O264)</f>
        <v/>
      </c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  <c r="AA264" s="24" t="n"/>
      <c r="AB264" s="24" t="n"/>
      <c r="AC264" s="24" t="n"/>
      <c r="AD264" s="24" t="n"/>
      <c r="AE264" s="24" t="n"/>
      <c r="AF264" s="24" t="n"/>
      <c r="AG264" s="24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</row>
    <row r="265" ht="12.75" customHeight="1" s="110"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  <c r="AC265" s="24" t="n"/>
      <c r="AD265" s="24" t="n"/>
      <c r="AE265" s="24" t="n"/>
      <c r="AF265" s="24" t="n"/>
      <c r="AG265" s="24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</row>
    <row r="266" ht="12.75" customHeight="1" s="110">
      <c r="C266" s="25" t="inlineStr">
        <is>
          <t>Escala AAS (Reconocimiento de la Adicción)</t>
        </is>
      </c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  <c r="AA266" s="24" t="n"/>
      <c r="AB266" s="24" t="n"/>
      <c r="AC266" s="24" t="n"/>
      <c r="AD266" s="24" t="n"/>
      <c r="AE266" s="24" t="n"/>
      <c r="AF266" s="24" t="n"/>
      <c r="AG266" s="24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</row>
    <row r="267" ht="12.75" customHeight="1" s="110">
      <c r="C267" s="24">
        <f>IF(H59=1,1,IF(H59=2,0,0))</f>
        <v/>
      </c>
      <c r="D267" s="24">
        <f>IF(L31=1,1,IF(L31=2,0,0))</f>
        <v/>
      </c>
      <c r="E267" s="24">
        <f>IF(L55=1,1,IF(L55=2,0,0))</f>
        <v/>
      </c>
      <c r="F267" s="24">
        <f>IF(P9=1,1,IF(P9=2,0,0))</f>
        <v/>
      </c>
      <c r="G267" s="24">
        <f>IF(P34=1,1,IF(P34=2,0,0))</f>
        <v/>
      </c>
      <c r="H267" s="24">
        <f>IF(T14=1,1,IF(T14=2,0,0))</f>
        <v/>
      </c>
      <c r="I267" s="24">
        <f>IF(T16=1,1,IF(T16=2,0,0))</f>
        <v/>
      </c>
      <c r="J267" s="24">
        <f>IF(T38=1,1,IF(T38=2,0,0))</f>
        <v/>
      </c>
      <c r="K267" s="24">
        <f>IF(T54=1,1,IF(T54=2,0,0))</f>
        <v/>
      </c>
      <c r="L267" s="24">
        <f>IF(V11=1,1,IF(V11=2,0,0))</f>
        <v/>
      </c>
      <c r="M267" s="24" t="n"/>
      <c r="N267" s="24">
        <f>IF(L33=1,0,IF(L33=2,1,0))</f>
        <v/>
      </c>
      <c r="O267" s="24">
        <f>IF(R16=1,0,IF(R16=2,1,0))</f>
        <v/>
      </c>
      <c r="P267" s="24">
        <f>IF(T28=1,0,IF(T28=2,1,0))</f>
        <v/>
      </c>
      <c r="Q267" s="24" t="n"/>
      <c r="R267" s="24" t="n"/>
      <c r="S267" s="24" t="n"/>
      <c r="T267" s="24" t="n"/>
      <c r="U267" s="24" t="n"/>
      <c r="V267" s="24" t="n"/>
      <c r="W267" s="25">
        <f>SUM(C267:V267)</f>
        <v/>
      </c>
      <c r="X267" s="25">
        <f>SUM(W267)</f>
        <v/>
      </c>
      <c r="Y267" s="24" t="n"/>
      <c r="Z267" s="24" t="n"/>
      <c r="AA267" s="24" t="n"/>
      <c r="AB267" s="24" t="n"/>
      <c r="AC267" s="24" t="n"/>
      <c r="AD267" s="24" t="n"/>
      <c r="AE267" s="24" t="n"/>
      <c r="AF267" s="24" t="n"/>
      <c r="AG267" s="24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</row>
    <row r="268" ht="12.75" customHeight="1" s="110">
      <c r="C268" s="25" t="inlineStr">
        <is>
          <t>Puntuaciones Típicas</t>
        </is>
      </c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  <c r="AA268" s="24" t="n"/>
      <c r="AB268" s="24" t="n"/>
      <c r="AC268" s="24" t="n"/>
      <c r="AD268" s="24" t="n"/>
      <c r="AE268" s="24" t="n"/>
      <c r="AF268" s="24" t="n"/>
      <c r="AG268" s="24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</row>
    <row r="269" ht="12.75" customHeight="1" s="110">
      <c r="C269" s="24">
        <f>IF(X267=0,36,IF(X267=1,41,IF(X267=2,46,IF(X267=3,51,IF(X267=4,56,IF(X267=5,60,IF(X267=6,65,0)))))))</f>
        <v/>
      </c>
      <c r="D269" s="24">
        <f>IF(X267=7,70,IF(X267=8,75,IF(X267=9,80,IF(X267=10,85,IF(X267=11,90,IF(X267=12,95,IF(X267&gt;=13,100,0)))))))</f>
        <v/>
      </c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5">
        <f>SUM(C269:O269)</f>
        <v/>
      </c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  <c r="AA269" s="24" t="n"/>
      <c r="AB269" s="24" t="n"/>
      <c r="AC269" s="24" t="n"/>
      <c r="AD269" s="24" t="n"/>
      <c r="AE269" s="24" t="n"/>
      <c r="AF269" s="24" t="n"/>
      <c r="AG269" s="24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</row>
    <row r="270" ht="12.75" customHeight="1" s="110"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  <c r="AC270" s="24" t="n"/>
      <c r="AD270" s="24" t="n"/>
      <c r="AE270" s="24" t="n"/>
      <c r="AF270" s="24" t="n"/>
      <c r="AG270" s="24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</row>
    <row r="271" ht="12.75" customHeight="1" s="110">
      <c r="C271" s="25" t="inlineStr">
        <is>
          <t xml:space="preserve"> Escala APS (Adicción Potencial)</t>
        </is>
      </c>
      <c r="D271" s="25" t="n"/>
      <c r="E271" s="25" t="n"/>
      <c r="F271" s="25" t="n"/>
      <c r="G271" s="25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  <c r="AA271" s="24" t="n"/>
      <c r="AB271" s="24" t="n"/>
      <c r="AC271" s="24" t="n"/>
      <c r="AD271" s="24" t="n"/>
      <c r="AE271" s="24" t="n"/>
      <c r="AF271" s="24" t="n"/>
      <c r="AG271" s="24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</row>
    <row r="272" ht="12.75" customHeight="1" s="110">
      <c r="C272" s="24">
        <f>IF(D14=1,1,IF(D14=2,0,0))</f>
        <v/>
      </c>
      <c r="D272" s="24">
        <f>IF(D36=1,1,IF(D36=2,0,0))</f>
        <v/>
      </c>
      <c r="E272" s="24">
        <f>IF(D48=1,1,IF(D48=2,0,0))</f>
        <v/>
      </c>
      <c r="F272" s="24">
        <f>IF(F36=1,1,IF(F36=2,0,0))</f>
        <v/>
      </c>
      <c r="G272" s="24">
        <f>IF(F50=1,1,IF(F50=2,0,0))</f>
        <v/>
      </c>
      <c r="H272" s="24">
        <f>IF(F60=1,1,IF(F60=2,0,0))</f>
        <v/>
      </c>
      <c r="I272" s="24">
        <f>IF(F67=1,1,IF(F67=2,0,0))</f>
        <v/>
      </c>
      <c r="J272" s="24">
        <f>IF(H55=1,1,IF(H55=2,0,0))</f>
        <v/>
      </c>
      <c r="K272" s="24">
        <f>IF(J10=1,1,IF(J10=2,0,0))</f>
        <v/>
      </c>
      <c r="L272" s="24">
        <f>IF(J16=1,1,IF(J16=2,0,0))</f>
        <v/>
      </c>
      <c r="M272" s="24">
        <f>IF(J23=1,1,IF(J23=2,0,0))</f>
        <v/>
      </c>
      <c r="N272" s="24">
        <f>IF(J44=1,1,IF(J44=2,0,0))</f>
        <v/>
      </c>
      <c r="O272" s="24">
        <f>IF(L9=1,1,IF(L9=2,0,0))</f>
        <v/>
      </c>
      <c r="P272" s="24">
        <f>IF(L27=1,1,IF(L27=2,0,0))</f>
        <v/>
      </c>
      <c r="Q272" s="24">
        <f>IF(L34=1,1,IF(L34=2,0,0))</f>
        <v/>
      </c>
      <c r="R272" s="24">
        <f>IF(N48=1,1,IF(N48=2,0,0))</f>
        <v/>
      </c>
      <c r="S272" s="24">
        <f>IF(N49=1,1,IF(N49=2,0,0))</f>
        <v/>
      </c>
      <c r="T272" s="24">
        <f>IF(N51=1,1,IF(N51=2,0,0))</f>
        <v/>
      </c>
      <c r="U272" s="24">
        <f>IF(P24=1,1,IF(P24=2,0,0))</f>
        <v/>
      </c>
      <c r="V272" s="24" t="n"/>
      <c r="W272" s="25">
        <f>SUM(C272:V272)</f>
        <v/>
      </c>
      <c r="X272" s="25" t="n"/>
      <c r="Y272" s="24" t="n"/>
      <c r="Z272" s="24" t="n"/>
      <c r="AA272" s="24" t="n"/>
      <c r="AB272" s="24" t="n"/>
      <c r="AC272" s="24" t="n"/>
      <c r="AD272" s="24" t="n"/>
      <c r="AE272" s="24" t="n"/>
      <c r="AF272" s="24" t="n"/>
      <c r="AG272" s="24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</row>
    <row r="273" ht="12.75" customHeight="1" s="110">
      <c r="C273" s="24">
        <f>IF(R9=1,1,IF(R9=2,0,0))</f>
        <v/>
      </c>
      <c r="D273" s="24">
        <f>IF(T29=1,1,IF(T29=2,0,0))</f>
        <v/>
      </c>
      <c r="E273" s="24">
        <f>IF(T50=1,1,IF(T50=2,0,0))</f>
        <v/>
      </c>
      <c r="F273" s="24">
        <f>IF(T67=1,1,IF(T67=2,0,0))</f>
        <v/>
      </c>
      <c r="G273" s="24" t="n"/>
      <c r="H273" s="24">
        <f>IF(D11=1,0,IF(D11=2,1,0))</f>
        <v/>
      </c>
      <c r="I273" s="24">
        <f>IF(D50=1,0,IF(D50=2,1,0))</f>
        <v/>
      </c>
      <c r="J273" s="24">
        <f>IF(F23=1,0,IF(F23=2,1,0))</f>
        <v/>
      </c>
      <c r="K273" s="24">
        <f>IF(F51=1,0,IF(F51=2,1,0))</f>
        <v/>
      </c>
      <c r="L273" s="24">
        <f>IF(H24=1,0,IF(H24=2,1,0))</f>
        <v/>
      </c>
      <c r="M273" s="24">
        <f>IF(H44=1,0,IF(H44=2,1,0))</f>
        <v/>
      </c>
      <c r="N273" s="24">
        <f>IF(J47=1,0,IF(J47=2,1,0))</f>
        <v/>
      </c>
      <c r="O273" s="24">
        <f>IF(J66=1,0,IF(J66=2,1,0))</f>
        <v/>
      </c>
      <c r="P273" s="24">
        <f>IF(N13=1,0,IF(N13=2,1,0))</f>
        <v/>
      </c>
      <c r="Q273" s="24">
        <f>IF(N19=1,0,IF(N19=2,1,0))</f>
        <v/>
      </c>
      <c r="R273" s="24">
        <f>IF(N56=1,0,IF(N56=2,1,0))</f>
        <v/>
      </c>
      <c r="S273" s="24">
        <f>IF(R27=1,0,IF(R27=2,1,0))</f>
        <v/>
      </c>
      <c r="T273" s="24">
        <f>IF(T22=1,0,IF(T22=2,1,0))</f>
        <v/>
      </c>
      <c r="U273" s="24">
        <f>IF(T23=1,0,IF(T23=2,1,0))</f>
        <v/>
      </c>
      <c r="V273" s="24" t="n"/>
      <c r="W273" s="25">
        <f>SUM(C273:V273)</f>
        <v/>
      </c>
      <c r="X273" s="25" t="n"/>
      <c r="Y273" s="24" t="n"/>
      <c r="Z273" s="24" t="n"/>
      <c r="AA273" s="24" t="n"/>
      <c r="AB273" s="24" t="n"/>
      <c r="AC273" s="24" t="n"/>
      <c r="AD273" s="24" t="n"/>
      <c r="AE273" s="24" t="n"/>
      <c r="AF273" s="24" t="n"/>
      <c r="AG273" s="24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</row>
    <row r="274" ht="12.75" customHeight="1" s="110">
      <c r="C274" s="24">
        <f>IF(T27=1,0,IF(T27=2,1,0))</f>
        <v/>
      </c>
      <c r="D274" s="24">
        <f>IF(T31=1,0,IF(T31=2,1,0))</f>
        <v/>
      </c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5">
        <f>SUM(C274:V274)</f>
        <v/>
      </c>
      <c r="X274" s="25">
        <f>SUM(W272:W274)</f>
        <v/>
      </c>
      <c r="Y274" s="24" t="n"/>
      <c r="Z274" s="24" t="n"/>
      <c r="AA274" s="24" t="n"/>
      <c r="AB274" s="24" t="n"/>
      <c r="AC274" s="24" t="n"/>
      <c r="AD274" s="24" t="n"/>
      <c r="AE274" s="24" t="n"/>
      <c r="AF274" s="24" t="n"/>
      <c r="AG274" s="24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</row>
    <row r="275" ht="12.75" customHeight="1" s="110">
      <c r="C275" s="25" t="inlineStr">
        <is>
          <t>Puntuaciones Típicas</t>
        </is>
      </c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  <c r="AC275" s="24" t="n"/>
      <c r="AD275" s="24" t="n"/>
      <c r="AE275" s="24" t="n"/>
      <c r="AF275" s="24" t="n"/>
      <c r="AG275" s="24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</row>
    <row r="276" ht="12.75" customHeight="1" s="110">
      <c r="C276" s="24">
        <f>IF(X274&lt;=16,30,IF(X274=17,33,IF(X274=18,35,IF(X274=19,38,IF(X274=20,41,IF(X274=21,44,IF(X274=22,46,0)))))))</f>
        <v/>
      </c>
      <c r="D276" s="24">
        <f>IF(X274=23,49,IF(X274=24,52,IF(X274=25,54,IF(X274=26,57,IF(X274=27,60,IF(X274=28,63,IF(X274=29,65,0)))))))</f>
        <v/>
      </c>
      <c r="E276" s="24">
        <f>IF(X274=30,68,IF(X274=31,71,IF(X274=32,73,IF(X274=33,76,IF(X274=34,79,IF(X274=35,82,IF(X274=36,84,0)))))))</f>
        <v/>
      </c>
      <c r="F276" s="24">
        <f>IF(X274=37,87,IF(X274=38,90,IF(X274&gt;=39,92,0)))</f>
        <v/>
      </c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5">
        <f>SUM(C276:O276)</f>
        <v/>
      </c>
      <c r="Q276" s="24" t="inlineStr">
        <is>
          <t xml:space="preserve">            </t>
        </is>
      </c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  <c r="AC276" s="24" t="n"/>
      <c r="AD276" s="24" t="n"/>
      <c r="AE276" s="24" t="n"/>
      <c r="AF276" s="24" t="n"/>
      <c r="AG276" s="24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</row>
    <row r="277" ht="12.75" customHeight="1" s="110"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  <c r="AC277" s="24" t="n"/>
      <c r="AD277" s="24" t="n"/>
      <c r="AE277" s="24" t="n"/>
      <c r="AF277" s="24" t="n"/>
      <c r="AG277" s="24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</row>
    <row r="278" ht="12.75" customHeight="1" s="110">
      <c r="C278" s="25" t="inlineStr">
        <is>
          <t>Escala MDS (Malestar marital)</t>
        </is>
      </c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  <c r="AC278" s="24" t="n"/>
      <c r="AD278" s="24" t="n"/>
      <c r="AE278" s="24" t="n"/>
      <c r="AF278" s="24" t="n"/>
      <c r="AG278" s="24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</row>
    <row r="279" ht="12.75" customHeight="1" s="110">
      <c r="C279" s="24">
        <f>IF(D28=1,1,IF(D28=2,0,0))</f>
        <v/>
      </c>
      <c r="D279" s="24">
        <f>IF(D29=1,1,IF(D29=2,0,0))</f>
        <v/>
      </c>
      <c r="E279" s="24">
        <f>IF(H22=1,1,IF(H22=2,0,0))</f>
        <v/>
      </c>
      <c r="F279" s="24">
        <f>IF(J22=1,1,IF(J22=2,0,0))</f>
        <v/>
      </c>
      <c r="G279" s="24">
        <f>IF(J46=1,1,IF(J46=2,0,0))</f>
        <v/>
      </c>
      <c r="H279" s="24">
        <f>IF(P29=1,1,IF(P29=2,0,0))</f>
        <v/>
      </c>
      <c r="I279" s="24">
        <f>IF(T11=1,1,IF(T11=2,0,0))</f>
        <v/>
      </c>
      <c r="J279" s="24">
        <f>IF(V30=1,1,IF(V30=2,0,0))</f>
        <v/>
      </c>
      <c r="K279" s="24" t="n"/>
      <c r="L279" s="24">
        <f>IF(D19=1,0,IF(D19=2,1,0))</f>
        <v/>
      </c>
      <c r="M279" s="24">
        <f>IF(F30=1,0,IF(F30=2,1,0))</f>
        <v/>
      </c>
      <c r="N279" s="24">
        <f>IF(F42=1,0,IF(F42=2,1,0))</f>
        <v/>
      </c>
      <c r="O279" s="24">
        <f>IF(H12=1,0,IF(H12=2,1,0))</f>
        <v/>
      </c>
      <c r="P279" s="24">
        <f>IF(T20=1,0,IF(T20=2,1,0))</f>
        <v/>
      </c>
      <c r="Q279" s="24">
        <f>IF(T21=1,0,IF(T21=2,1,0))</f>
        <v/>
      </c>
      <c r="R279" s="24" t="n"/>
      <c r="S279" s="24" t="n"/>
      <c r="T279" s="24" t="n"/>
      <c r="U279" s="24" t="n"/>
      <c r="V279" s="24" t="n"/>
      <c r="W279" s="25">
        <f>SUM(C279:V279)</f>
        <v/>
      </c>
      <c r="X279" s="25">
        <f>SUM(W279)</f>
        <v/>
      </c>
      <c r="Y279" s="24" t="n"/>
      <c r="Z279" s="24" t="n"/>
      <c r="AA279" s="24" t="n"/>
      <c r="AB279" s="24" t="n"/>
      <c r="AC279" s="24" t="n"/>
      <c r="AD279" s="24" t="n"/>
      <c r="AE279" s="24" t="n"/>
      <c r="AF279" s="24" t="n"/>
      <c r="AG279" s="24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</row>
    <row r="280" ht="12.75" customHeight="1" s="110">
      <c r="C280" s="25" t="inlineStr">
        <is>
          <t>Puntuaciones típicas</t>
        </is>
      </c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  <c r="AC280" s="24" t="n"/>
      <c r="AD280" s="24" t="n"/>
      <c r="AE280" s="24" t="n"/>
      <c r="AF280" s="24" t="n"/>
      <c r="AG280" s="24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</row>
    <row r="281" ht="12.75" customHeight="1" s="110">
      <c r="C281" s="24">
        <f>IF(X279=0,37,IF(X279=1,42,IF(X279=2,46,IF(X279=3,51,IF(X279=4,56,IF(X279=5,60,IF(X279=6,65,0)))))))</f>
        <v/>
      </c>
      <c r="D281" s="24">
        <f>IF(X279=7,69,IF(X279=8,74,IF(X279=9,79,IF(X279=10,83,IF(X279=11,88,IF(X279=12,92,IF(X279=13,97,0)))))))</f>
        <v/>
      </c>
      <c r="E281" s="24">
        <f>IF(X279&gt;=14,102,0)</f>
        <v/>
      </c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5">
        <f>SUM(C281:O281)</f>
        <v/>
      </c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  <c r="AC281" s="24" t="n"/>
      <c r="AD281" s="24" t="n"/>
      <c r="AE281" s="24" t="n"/>
      <c r="AF281" s="24" t="n"/>
      <c r="AG281" s="24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</row>
    <row r="282" ht="12.75" customHeight="1" s="110"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  <c r="AC282" s="24" t="n"/>
      <c r="AD282" s="24" t="n"/>
      <c r="AE282" s="24" t="n"/>
      <c r="AF282" s="24" t="n"/>
      <c r="AG282" s="24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</row>
    <row r="283" ht="12.75" customHeight="1" s="110">
      <c r="C283" s="25" t="inlineStr">
        <is>
          <t>Escala Ho (Hostilidad)</t>
        </is>
      </c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  <c r="AA283" s="24" t="n"/>
      <c r="AB283" s="24" t="n"/>
      <c r="AC283" s="24" t="n"/>
      <c r="AD283" s="24" t="n"/>
      <c r="AE283" s="24" t="n"/>
      <c r="AF283" s="24" t="n"/>
      <c r="AG283" s="24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</row>
    <row r="284" ht="12.75" customHeight="1" s="110">
      <c r="C284" s="24">
        <f>IF(D26=1,1,IF(D26=2,0,0))</f>
        <v/>
      </c>
      <c r="D284" s="24">
        <f>IF(D34=1,1,IF(D34=2,0,0))</f>
        <v/>
      </c>
      <c r="E284" s="24">
        <f>IF(D53=1,1,IF(D53=2,0,0))</f>
        <v/>
      </c>
      <c r="F284" s="24">
        <f>IF(D57=1,1,IF(D57=2,0,0))</f>
        <v/>
      </c>
      <c r="G284" s="24">
        <f>IF(D65=1,1,IF(D65=2,0,0))</f>
        <v/>
      </c>
      <c r="H284" s="24">
        <f>IF(F23=1,1,IF(F23=2,0,0))</f>
        <v/>
      </c>
      <c r="I284" s="24">
        <f>IF(F28=1,1,IF(F28=2,0,0))</f>
        <v/>
      </c>
      <c r="J284" s="24">
        <f>IF(F46=1,1,IF(F46=2,0,0))</f>
        <v/>
      </c>
      <c r="K284" s="24">
        <f>IF(F51=1,1,IF(F51=2,0,0))</f>
        <v/>
      </c>
      <c r="L284" s="24">
        <f>IF(F57=1,1,IF(F57=2,0,0))</f>
        <v/>
      </c>
      <c r="M284" s="24">
        <f>IF(H11=1,1,IF(H11=2,0,0))</f>
        <v/>
      </c>
      <c r="N284" s="24">
        <f>IF(H23=1,1,IF(H23=2,0,0))</f>
        <v/>
      </c>
      <c r="O284" s="24">
        <f>IF(H32=1,1,IF(H32=2,0,0))</f>
        <v/>
      </c>
      <c r="P284" s="24">
        <f>IF(H58=1,1,IF(H58=2,0,0))</f>
        <v/>
      </c>
      <c r="Q284" s="24">
        <f>IF(J32=1,1,IF(J32=2,0,0))</f>
        <v/>
      </c>
      <c r="R284" s="24">
        <f>IF(J52=1,1,IF(J52=2,0,0))</f>
        <v/>
      </c>
      <c r="S284" s="24">
        <f>IF(J54=1,1,IF(J54=2,0,0))</f>
        <v/>
      </c>
      <c r="T284" s="24">
        <f>IF(L8=1,1,IF(L8=2,0,0))</f>
        <v/>
      </c>
      <c r="U284" s="24">
        <f>IF(L15=1,1,IF(L15=2,0,0))</f>
        <v/>
      </c>
      <c r="V284" s="24" t="n"/>
      <c r="W284" s="25">
        <f>SUM(C284:V284)</f>
        <v/>
      </c>
      <c r="X284" s="25" t="n"/>
      <c r="Y284" s="24" t="n"/>
      <c r="Z284" s="24" t="n"/>
      <c r="AA284" s="24" t="n"/>
      <c r="AB284" s="24" t="n"/>
      <c r="AC284" s="24" t="n"/>
      <c r="AD284" s="24" t="n"/>
      <c r="AE284" s="24" t="n"/>
      <c r="AF284" s="24" t="n"/>
      <c r="AG284" s="24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</row>
    <row r="285" ht="12.75" customHeight="1" s="110">
      <c r="C285" s="24">
        <f>IF(L18=1,1,IF(L18=2,0,0))</f>
        <v/>
      </c>
      <c r="D285" s="24">
        <f>IF(L21=1,1,IF(L21=2,0,0))</f>
        <v/>
      </c>
      <c r="E285" s="24">
        <f>IF(L26=1,1,IF(L26=2,0,0))</f>
        <v/>
      </c>
      <c r="F285" s="24">
        <f>IF(L32=1,1,IF(L32=2,0,0))</f>
        <v/>
      </c>
      <c r="G285" s="24">
        <f>IF(L53=1,1,IF(L53=2,0,0))</f>
        <v/>
      </c>
      <c r="H285" s="24">
        <f>IF(N13=1,1,IF(N13=2,0,0))</f>
        <v/>
      </c>
      <c r="I285" s="24">
        <f>IF(N22=1,1,IF(N22=2,0,0))</f>
        <v/>
      </c>
      <c r="J285" s="24">
        <f>IF(N45=1,1,IF(N45=2,0,0))</f>
        <v/>
      </c>
      <c r="K285" s="24">
        <f>IF(N53=1,1,IF(N53=2,0,0))</f>
        <v/>
      </c>
      <c r="L285" s="24">
        <f>IF(N54=1,1,IF(N54=2,0,0))</f>
        <v/>
      </c>
      <c r="M285" s="24">
        <f>IF(N59=1,1,IF(N59=2,0,0))</f>
        <v/>
      </c>
      <c r="N285" s="24">
        <f>IF(N64=1,1,IF(N64=2,0,0))</f>
        <v/>
      </c>
      <c r="O285" s="24">
        <f>IF(N65=1,1,IF(N65=2,0,0))</f>
        <v/>
      </c>
      <c r="P285" s="24">
        <f>IF(P33=1,1,IF(P33=2,0,0))</f>
        <v/>
      </c>
      <c r="Q285" s="24">
        <f>IF(P40=1,1,IF(P40=2,0,0))</f>
        <v/>
      </c>
      <c r="R285" s="24">
        <f>IF(P45=1,1,IF(P45=2,0,0))</f>
        <v/>
      </c>
      <c r="S285" s="24">
        <f>IF(P53=1,1,IF(P53=2,0,0))</f>
        <v/>
      </c>
      <c r="T285" s="24">
        <f>IF(P61=1,1,IF(P61=2,0,0))</f>
        <v/>
      </c>
      <c r="U285" s="24">
        <f>IF(P66=1,1,IF(P66=2,0,0))</f>
        <v/>
      </c>
      <c r="V285" s="24" t="n"/>
      <c r="W285" s="25">
        <f>SUM(C285:V285)</f>
        <v/>
      </c>
      <c r="X285" s="25" t="n"/>
      <c r="Y285" s="24" t="n"/>
      <c r="Z285" s="24" t="n"/>
      <c r="AA285" s="24" t="n"/>
      <c r="AB285" s="24" t="n"/>
      <c r="AC285" s="24" t="n"/>
      <c r="AD285" s="24" t="n"/>
      <c r="AE285" s="24" t="n"/>
      <c r="AF285" s="24" t="n"/>
      <c r="AG285" s="24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</row>
    <row r="286" ht="12.75" customHeight="1" s="110">
      <c r="C286" s="24">
        <f>IF(R10=1,1,IF(R10=2,0,0))</f>
        <v/>
      </c>
      <c r="D286" s="24">
        <f>IF(R12=1,1,IF(R12=2,0,0))</f>
        <v/>
      </c>
      <c r="E286" s="24">
        <f>IF(R23=1,1,IF(R23=2,0,0))</f>
        <v/>
      </c>
      <c r="F286" s="24">
        <f>IF(R30=1,1,IF(R30=2,0,0))</f>
        <v/>
      </c>
      <c r="G286" s="24">
        <f>IF(R32=1,1,IF(R32=2,0,0))</f>
        <v/>
      </c>
      <c r="H286" s="24">
        <f>IF(R39=1,1,IF(R39=2,0,0))</f>
        <v/>
      </c>
      <c r="I286" s="24">
        <f>IF(R44=1,1,IF(R44=2,0,0))</f>
        <v/>
      </c>
      <c r="J286" s="24">
        <f>IF(R53=1,1,IF(R53=2,0,0))</f>
        <v/>
      </c>
      <c r="K286" s="24">
        <f>IF(R57=1,1,IF(R57=2,0,0))</f>
        <v/>
      </c>
      <c r="L286" s="24" t="n"/>
      <c r="M286" s="24">
        <f>IF(J44=1,0,IF(J44=2,1,0))</f>
        <v/>
      </c>
      <c r="N286" s="24">
        <f>IF(J57=1,0,IF(J57=2,1,0))</f>
        <v/>
      </c>
      <c r="O286" s="24">
        <f>IF(P19=1,0,IF(P19=2,1,0))</f>
        <v/>
      </c>
      <c r="P286" s="24" t="n"/>
      <c r="Q286" s="24" t="n"/>
      <c r="R286" s="24" t="n"/>
      <c r="S286" s="24" t="n"/>
      <c r="T286" s="24" t="n"/>
      <c r="U286" s="24" t="n"/>
      <c r="V286" s="24" t="n"/>
      <c r="W286" s="25">
        <f>SUM(C286:V286)</f>
        <v/>
      </c>
      <c r="X286" s="25">
        <f>SUM(W284:W286)</f>
        <v/>
      </c>
      <c r="Y286" s="24" t="n"/>
      <c r="Z286" s="24" t="n"/>
      <c r="AA286" s="24" t="n"/>
      <c r="AB286" s="24" t="n"/>
      <c r="AC286" s="24" t="n"/>
      <c r="AD286" s="24" t="n"/>
      <c r="AE286" s="24" t="n"/>
      <c r="AF286" s="24" t="n"/>
      <c r="AG286" s="24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</row>
    <row r="287" ht="12.75" customHeight="1" s="110">
      <c r="C287" s="25" t="inlineStr">
        <is>
          <t>Puntuaciones Típicas</t>
        </is>
      </c>
      <c r="D287" s="25" t="n"/>
      <c r="E287" s="25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  <c r="AC287" s="24" t="n"/>
      <c r="AD287" s="24" t="n"/>
      <c r="AE287" s="24" t="n"/>
      <c r="AF287" s="24" t="n"/>
      <c r="AG287" s="24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</row>
    <row r="288" ht="12.75" customHeight="1" s="110">
      <c r="C288" s="24">
        <f>IF(X286&lt;=1,30,IF(X286=2,31,IF(X286=3,32,IF(X286=4,33,IF(X286=5,34,IF(X286=6,35,IF(X286=7,36,0)))))))</f>
        <v/>
      </c>
      <c r="D288" s="24">
        <f>IF(X286=8,38,IF(X286=9,39,IF(X286=10,40,IF(X286=11,41,IF(X286=12,42,IF(X286=13,44,IF(X286=14,45,0)))))))</f>
        <v/>
      </c>
      <c r="E288" s="24">
        <f>IF(X286=15,46,IF(X286=16,47,IF(X286=17,48,IF(X286=18,50,IF(X286=19,51,IF(X286=20,52,IF(X286=21,53,0)))))))</f>
        <v/>
      </c>
      <c r="F288" s="24">
        <f>IF(X286=22,54,IF(X286=23,56,IF(X286=24,57,IF(X286=25,58,IF(X286=26,59,IF(X286=27,60,IF(X286=28,62,0)))))))</f>
        <v/>
      </c>
      <c r="G288" s="24">
        <f>IF(X286=29,63,IF(X286=30,64,IF(X286=31,65,IF(X286=32,66,IF(X286=33,67,IF(X286=34,69,IF(X286=35,70,0)))))))</f>
        <v/>
      </c>
      <c r="H288" s="24">
        <f>IF(X286=36,71,IF(X286=37,72,IF(X286=38,73,IF(X286=39,75,IF(X286=40,76,IF(X286=41,77,IF(X286=42,78,0)))))))</f>
        <v/>
      </c>
      <c r="I288" s="24">
        <f>IF(X286=43,79,IF(X286=44,81,IF(X286=45,82,IF(X286=46,83,IF(X286=47,84,IF(X286=48,85,IF(X286=49,87,IF(X286&gt;=50,88,0))))))))</f>
        <v/>
      </c>
      <c r="J288" s="24" t="n"/>
      <c r="K288" s="24" t="n"/>
      <c r="L288" s="24" t="n"/>
      <c r="M288" s="24" t="n"/>
      <c r="N288" s="24" t="n"/>
      <c r="O288" s="24" t="n"/>
      <c r="P288" s="25">
        <f>SUM(C288:O288)</f>
        <v/>
      </c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  <c r="AA288" s="24" t="n"/>
      <c r="AB288" s="24" t="n"/>
      <c r="AC288" s="24" t="n"/>
      <c r="AD288" s="24" t="n"/>
      <c r="AE288" s="24" t="n"/>
      <c r="AF288" s="24" t="n"/>
      <c r="AG288" s="24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</row>
    <row r="289" ht="12.75" customHeight="1" s="110"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  <c r="AC289" s="24" t="n"/>
      <c r="AD289" s="24" t="n"/>
      <c r="AE289" s="24" t="n"/>
      <c r="AF289" s="24" t="n"/>
      <c r="AG289" s="24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</row>
    <row r="290" ht="12.75" customHeight="1" s="110">
      <c r="C290" s="25" t="inlineStr">
        <is>
          <t>Escala O-H (Hostilidad Sobrecontrolada)</t>
        </is>
      </c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  <c r="AA290" s="24" t="n"/>
      <c r="AB290" s="24" t="n"/>
      <c r="AC290" s="24" t="n"/>
      <c r="AD290" s="24" t="n"/>
      <c r="AE290" s="24" t="n"/>
      <c r="AF290" s="24" t="n"/>
      <c r="AG290" s="24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</row>
    <row r="291" ht="12.75" customHeight="1" s="110">
      <c r="C291" s="24">
        <f>IF(F14=1,1,IF(F14=2,0,0))</f>
        <v/>
      </c>
      <c r="D291" s="24">
        <f>IF(F26=1,1,IF(F26=2,0,0))</f>
        <v/>
      </c>
      <c r="E291" s="24">
        <f>IF(J34=1,1,IF(J34=2,0,0))</f>
        <v/>
      </c>
      <c r="F291" s="24">
        <f>IF(L53=1,1,IF(L53=2,0,0))</f>
        <v/>
      </c>
      <c r="G291" s="24">
        <f>IF(N12=1,1,IF(N12=2,0,0))</f>
        <v/>
      </c>
      <c r="H291" s="24">
        <f>IF(P45=1,1,IF(P45=2,0,0))</f>
        <v/>
      </c>
      <c r="I291" s="24">
        <f>IF(R58=1,1,IF(R58=2,0,0))</f>
        <v/>
      </c>
      <c r="J291" s="24" t="n"/>
      <c r="K291" s="24">
        <f>IF(D8=1,0,IF(D8=2,1,0))</f>
        <v/>
      </c>
      <c r="L291" s="24">
        <f>IF(D22=1,0,IF(D22=2,1,0))</f>
        <v/>
      </c>
      <c r="M291" s="24">
        <f>IF(D36=1,0,IF(D36=2,1,0))</f>
        <v/>
      </c>
      <c r="N291" s="24">
        <f>IF(F16=1,0,IF(F16=2,1,0))</f>
        <v/>
      </c>
      <c r="O291" s="24">
        <f>IF(F24=1,0,IF(F24=2,1,0))</f>
        <v/>
      </c>
      <c r="P291" s="24">
        <f>IF(F36=1,0,IF(F36=2,1,0))</f>
        <v/>
      </c>
      <c r="Q291" s="24">
        <f>IF(F45=1,0,IF(F45=2,1,0))</f>
        <v/>
      </c>
      <c r="R291" s="24">
        <f>IF(F63=1,0,IF(F63=2,1,0))</f>
        <v/>
      </c>
      <c r="S291" s="24">
        <f>IF(F64=1,0,IF(F64=2,1,0))</f>
        <v/>
      </c>
      <c r="T291" s="24">
        <f>IF(H16=1,0,IF(H16=2,1,0))</f>
        <v/>
      </c>
      <c r="U291" s="24">
        <f>IF(H40=1,0,IF(H40=2,1,0))</f>
        <v/>
      </c>
      <c r="V291" s="24" t="n"/>
      <c r="W291" s="25">
        <f>SUM(C291:V291)</f>
        <v/>
      </c>
      <c r="X291" s="25" t="n"/>
      <c r="Y291" s="24" t="n"/>
      <c r="Z291" s="24" t="n"/>
      <c r="AA291" s="24" t="n"/>
      <c r="AB291" s="24" t="n"/>
      <c r="AC291" s="24" t="n"/>
      <c r="AD291" s="24" t="n"/>
      <c r="AE291" s="24" t="n"/>
      <c r="AF291" s="24" t="n"/>
      <c r="AG291" s="24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</row>
    <row r="292" ht="12.75" customHeight="1" s="110">
      <c r="C292" s="24">
        <f>IF(H56=1,0,IF(H56=2,1,0))</f>
        <v/>
      </c>
      <c r="D292" s="24">
        <f>IF(H58=1,0,IF(H58=2,1,0))</f>
        <v/>
      </c>
      <c r="E292" s="24">
        <f>IF(L60=1,0,IF(L60=2,1,0))</f>
        <v/>
      </c>
      <c r="F292" s="24">
        <f>IF(N51=1,0,IF(N51=2,1,0))</f>
        <v/>
      </c>
      <c r="G292" s="24">
        <f>IF(P37=1,0,IF(P37=2,1,0))</f>
        <v/>
      </c>
      <c r="H292" s="24">
        <f>IF(P47=1,0,IF(P47=2,1,0))</f>
        <v/>
      </c>
      <c r="I292" s="24">
        <f>IF(P67=1,0,IF(P67=2,1,0))</f>
        <v/>
      </c>
      <c r="J292" s="24">
        <f>IF(R20=1,0,IF(R20=2,1,0))</f>
        <v/>
      </c>
      <c r="K292" s="24">
        <f>IF(R27=1,0,IF(R27=2,1,0))</f>
        <v/>
      </c>
      <c r="L292" s="24">
        <f>IF(R47=1,0,IF(R47=2,1,0))</f>
        <v/>
      </c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5">
        <f>SUM(C292:V292)</f>
        <v/>
      </c>
      <c r="X292" s="25">
        <f>SUM(W291:W292)</f>
        <v/>
      </c>
      <c r="Y292" s="24" t="n"/>
      <c r="Z292" s="24" t="n"/>
      <c r="AA292" s="24" t="n"/>
      <c r="AB292" s="24" t="n"/>
      <c r="AC292" s="24" t="n"/>
      <c r="AD292" s="24" t="n"/>
      <c r="AE292" s="24" t="n"/>
      <c r="AF292" s="24" t="n"/>
      <c r="AG292" s="24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</row>
    <row r="293" ht="12.75" customHeight="1" s="110">
      <c r="C293" s="25" t="inlineStr">
        <is>
          <t>Puntuaciones Típicas</t>
        </is>
      </c>
      <c r="D293" s="25" t="n"/>
      <c r="E293" s="25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  <c r="AC293" s="24" t="n"/>
      <c r="AD293" s="24" t="n"/>
      <c r="AE293" s="24" t="n"/>
      <c r="AF293" s="24" t="n"/>
      <c r="AG293" s="24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</row>
    <row r="294" ht="12.75" customHeight="1" s="110">
      <c r="C294" s="24">
        <f>IF(X292&lt;=6,30,IF(X292=7,31,IF(X292=8,35,IF(X292=9,38,IF(X292=10,41,IF(X292=11,45,IF(X292=12,48,0)))))))</f>
        <v/>
      </c>
      <c r="D294" s="24">
        <f>IF(X292=13,52,IF(X292=14,55,IF(X292=15,58,IF(X292=16,62,IF(X292=17,65,IF(X292=18,69,IF(X292=19,72,0)))))))</f>
        <v/>
      </c>
      <c r="E294" s="24">
        <f>IF(X292=20,76,IF(X292=21,79,IF(X292=22,82,IF(X292=23,86,IF(X292=24,89,IF(X292=25,93,IF(X292=26,96,0)))))))</f>
        <v/>
      </c>
      <c r="F294" s="24">
        <f>IF(X292=27,99,IF(X292&gt;=28,103,0))</f>
        <v/>
      </c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5">
        <f>SUM(C294:O294)</f>
        <v/>
      </c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  <c r="AC294" s="24" t="n"/>
      <c r="AD294" s="24" t="n"/>
      <c r="AE294" s="24" t="n"/>
      <c r="AF294" s="24" t="n"/>
      <c r="AG294" s="24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</row>
    <row r="295" ht="12.75" customHeight="1" s="110"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  <c r="AC295" s="24" t="n"/>
      <c r="AD295" s="24" t="n"/>
      <c r="AE295" s="24" t="n"/>
      <c r="AF295" s="24" t="n"/>
      <c r="AG295" s="24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</row>
    <row r="296" ht="12.75" customHeight="1" s="110">
      <c r="C296" s="25" t="inlineStr">
        <is>
          <t>Escala Do (Dominancia)</t>
        </is>
      </c>
      <c r="D296" s="25" t="n"/>
      <c r="E296" s="25" t="n"/>
      <c r="F296" s="25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  <c r="AA296" s="24" t="n"/>
      <c r="AB296" s="24" t="n"/>
      <c r="AC296" s="24" t="n"/>
      <c r="AD296" s="24" t="n"/>
      <c r="AE296" s="24" t="n"/>
      <c r="AF296" s="24" t="n"/>
      <c r="AG296" s="24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</row>
    <row r="297" ht="12.75" customHeight="1" s="110">
      <c r="C297" s="24">
        <f>IF(D62=1,1,IF(D62=2,0,0))</f>
        <v/>
      </c>
      <c r="D297" s="24">
        <f>IF(J34=1,1,IF(J34=2,0,0))</f>
        <v/>
      </c>
      <c r="E297" s="24">
        <f>IF(J59=1,1,IF(J59=2,0,0))</f>
        <v/>
      </c>
      <c r="F297" s="24">
        <f>IF(L12=1,1,IF(L12=2,0,0))</f>
        <v/>
      </c>
      <c r="G297" s="24">
        <f>IF(P33=1,1,IF(P33=2,0,0))</f>
        <v/>
      </c>
      <c r="H297" s="24">
        <f>IF(P63=1,1,IF(P63=2,0,0))</f>
        <v/>
      </c>
      <c r="I297" s="24" t="n"/>
      <c r="J297" s="24">
        <f>IF(D38=1,0,IF(D38=2,1,0))</f>
        <v/>
      </c>
      <c r="K297" s="24">
        <f>IF(D59=1,0,IF(D59=2,1,0))</f>
        <v/>
      </c>
      <c r="L297" s="24">
        <f>IF(F17=1,0,IF(F17=2,1,0))</f>
        <v/>
      </c>
      <c r="M297" s="24">
        <f>IF(F20=1,0,IF(F20=2,1,0))</f>
        <v/>
      </c>
      <c r="N297" s="24">
        <f>IF(F29=1,0,IF(F29=2,1,0))</f>
        <v/>
      </c>
      <c r="O297" s="24">
        <f>IF(H59=1,0,IF(H59=2,1,0))</f>
        <v/>
      </c>
      <c r="P297" s="24">
        <f>IF(J28=1,0,IF(J28=2,1,0))</f>
        <v/>
      </c>
      <c r="Q297" s="24">
        <f>IF(J29=1,0,IF(J29=2,1,0))</f>
        <v/>
      </c>
      <c r="R297" s="24">
        <f>IF(J47=1,0,IF(J47=2,1,0))</f>
        <v/>
      </c>
      <c r="S297" s="24">
        <f>IF(J54=1,0,IF(J54=2,1,0))</f>
        <v/>
      </c>
      <c r="T297" s="24">
        <f>IF(L10=1,0,IF(L10=2,1,0))</f>
        <v/>
      </c>
      <c r="U297" s="24">
        <f>IF(L11=1,0,IF(L11=2,1,0))</f>
        <v/>
      </c>
      <c r="V297" s="24" t="n"/>
      <c r="W297" s="25">
        <f>SUM(C297:V297)</f>
        <v/>
      </c>
      <c r="X297" s="25" t="n"/>
      <c r="Y297" s="24" t="n"/>
      <c r="Z297" s="24" t="n"/>
      <c r="AA297" s="24" t="n"/>
      <c r="AB297" s="24" t="n"/>
      <c r="AC297" s="24" t="n"/>
      <c r="AD297" s="24" t="n"/>
      <c r="AE297" s="24" t="n"/>
      <c r="AF297" s="24" t="n"/>
      <c r="AG297" s="24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</row>
    <row r="298" ht="12.75" customHeight="1" s="110">
      <c r="C298" s="24">
        <f>IF(L42=1,0,IF(L42=2,1,0))</f>
        <v/>
      </c>
      <c r="D298" s="24">
        <f>IF(N16=1,0,IF(N16=2,1,0))</f>
        <v/>
      </c>
      <c r="E298" s="24">
        <f>IF(N32=1,0,IF(N32=2,1,0))</f>
        <v/>
      </c>
      <c r="F298" s="24">
        <f>IF(P46=1,0,IF(P46=2,1,0))</f>
        <v/>
      </c>
      <c r="G298" s="24">
        <f>IF(P59=1,0,IF(P59=2,1,0))</f>
        <v/>
      </c>
      <c r="H298" s="24">
        <f>IF(R57=1,0,IF(R57=2,1,0))</f>
        <v/>
      </c>
      <c r="I298" s="24">
        <f>IF(R60=1,0,IF(R60=2,1,0))</f>
        <v/>
      </c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5">
        <f>SUM(C298:V298)</f>
        <v/>
      </c>
      <c r="X298" s="25">
        <f>SUM(W297:W298)</f>
        <v/>
      </c>
      <c r="Y298" s="24" t="n"/>
      <c r="Z298" s="24" t="n"/>
      <c r="AA298" s="24" t="n"/>
      <c r="AB298" s="24" t="n"/>
      <c r="AC298" s="24" t="n"/>
      <c r="AD298" s="24" t="n"/>
      <c r="AE298" s="24" t="n"/>
      <c r="AF298" s="24" t="n"/>
      <c r="AG298" s="24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</row>
    <row r="299" ht="12.75" customHeight="1" s="110">
      <c r="C299" s="25" t="inlineStr">
        <is>
          <t>Puntuaciones Típicas</t>
        </is>
      </c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  <c r="AC299" s="24" t="n"/>
      <c r="AD299" s="24" t="n"/>
      <c r="AE299" s="24" t="n"/>
      <c r="AF299" s="24" t="n"/>
      <c r="AG299" s="24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</row>
    <row r="300" ht="12.75" customHeight="1" s="110">
      <c r="C300" s="24">
        <f>IF(X298&lt;=10,30,IF(X298=11,31,IF(X298=12,34,IF(X298=13,38,IF(X298=14,41,IF(X298=15,45,IF(X298=16,48,0)))))))</f>
        <v/>
      </c>
      <c r="D300" s="24">
        <f>IF(X298=17,51,IF(X298=18,55,IF(X298=19,58,IF(X298=20,61,IF(X298=21,65,IF(X298=22,68,IF(X298=23,72,0)))))))</f>
        <v/>
      </c>
      <c r="E300" s="24">
        <f>IF(X298=24,75,IF(X298&gt;=25,78,0))</f>
        <v/>
      </c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5">
        <f>SUM(C300:O300)</f>
        <v/>
      </c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  <c r="AA300" s="24" t="n"/>
      <c r="AB300" s="24" t="n"/>
      <c r="AC300" s="24" t="n"/>
      <c r="AD300" s="24" t="n"/>
      <c r="AE300" s="24" t="n"/>
      <c r="AF300" s="24" t="n"/>
      <c r="AG300" s="24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</row>
    <row r="301" ht="12.75" customHeight="1" s="110"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  <c r="AA301" s="24" t="n"/>
      <c r="AB301" s="24" t="n"/>
      <c r="AC301" s="24" t="n"/>
      <c r="AD301" s="24" t="n"/>
      <c r="AE301" s="24" t="n"/>
      <c r="AF301" s="24" t="n"/>
      <c r="AG301" s="24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</row>
    <row r="302" ht="12.75" customHeight="1" s="110">
      <c r="C302" s="25" t="inlineStr">
        <is>
          <t>Escala Re (Responsabilidad Social)</t>
        </is>
      </c>
      <c r="D302" s="25" t="n"/>
      <c r="E302" s="25" t="n"/>
      <c r="F302" s="25" t="n"/>
      <c r="G302" s="25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  <c r="AA302" s="24" t="n"/>
      <c r="AB302" s="24" t="n"/>
      <c r="AC302" s="24" t="n"/>
      <c r="AD302" s="24" t="n"/>
      <c r="AE302" s="24" t="n"/>
      <c r="AF302" s="24" t="n"/>
      <c r="AG302" s="24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</row>
    <row r="303" ht="12.75" customHeight="1" s="110">
      <c r="C303" s="24">
        <f>IF(F47=1,1,IF(F47=2,0,0))</f>
        <v/>
      </c>
      <c r="D303" s="24">
        <f>IF(H47=1,1,IF(H47=2,0,0))</f>
        <v/>
      </c>
      <c r="E303" s="24">
        <f>IF(J26=1,1,IF(J26=2,0,0))</f>
        <v/>
      </c>
      <c r="F303" s="24">
        <f>IF(L33=1,1,IF(L33=2,0,0))</f>
        <v/>
      </c>
      <c r="G303" s="24">
        <f>IF(R27=1,1,IF(R27=2,0,0))</f>
        <v/>
      </c>
      <c r="H303" s="24">
        <f>IF(R54=1,1,IF(R54=2,0,0))</f>
        <v/>
      </c>
      <c r="I303" s="24" t="n"/>
      <c r="J303" s="24">
        <f>IF(D14=1,0,IF(D14=2,1,0))</f>
        <v/>
      </c>
      <c r="K303" s="24">
        <f>IF(D34=1,0,IF(D34=2,1,0))</f>
        <v/>
      </c>
      <c r="L303" s="24">
        <f>IF(D36=1,0,IF(D36=2,1,0))</f>
        <v/>
      </c>
      <c r="M303" s="24">
        <f>IF(D39=1,0,IF(D39=2,1,0))</f>
        <v/>
      </c>
      <c r="N303" s="24">
        <f>IF(F31=1,0,IF(F31=2,1,0))</f>
        <v/>
      </c>
      <c r="O303" s="24">
        <f>IF(F50=1,0,IF(F50=2,1,0))</f>
        <v/>
      </c>
      <c r="P303" s="24">
        <f>IF(F52=1,0,IF(F52=2,1,0))</f>
        <v/>
      </c>
      <c r="Q303" s="24">
        <f>IF(H32=1,0,IF(H32=2,1,0))</f>
        <v/>
      </c>
      <c r="R303" s="24">
        <f>IF(H51=1,0,IF(H51=2,1,0))</f>
        <v/>
      </c>
      <c r="S303" s="24">
        <f>IF(H56=1,0,IF(H56=2,1,0))</f>
        <v/>
      </c>
      <c r="T303" s="24">
        <f>IF(J28=1,0,IF(J28=2,1,0))</f>
        <v/>
      </c>
      <c r="U303" s="24">
        <f>IF(J29=1,0,IF(J29=2,1,0))</f>
        <v/>
      </c>
      <c r="V303" s="24" t="n"/>
      <c r="W303" s="25">
        <f>SUM(C303:V303)</f>
        <v/>
      </c>
      <c r="X303" s="25" t="n"/>
      <c r="Y303" s="24" t="n"/>
      <c r="Z303" s="24" t="n"/>
      <c r="AA303" s="24" t="n"/>
      <c r="AB303" s="24" t="n"/>
      <c r="AC303" s="24" t="n"/>
      <c r="AD303" s="24" t="n"/>
      <c r="AE303" s="24" t="n"/>
      <c r="AF303" s="24" t="n"/>
      <c r="AG303" s="24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</row>
    <row r="304" ht="12.75" customHeight="1" s="110">
      <c r="C304" s="24">
        <f>IF(J62=1,0,IF(J62=2,1,0))</f>
        <v/>
      </c>
      <c r="D304" s="24">
        <f>IF(L42=1,0,IF(L42=2,1,0))</f>
        <v/>
      </c>
      <c r="E304" s="24">
        <f>IF(N65=1,0,IF(N65=2,1,0))</f>
        <v/>
      </c>
      <c r="F304" s="24">
        <f>IF(P59=1,0,IF(P59=2,1,0))</f>
        <v/>
      </c>
      <c r="G304" s="24">
        <f>IF(P64=1,0,IF(P64=2,1,0))</f>
        <v/>
      </c>
      <c r="H304" s="24">
        <f>IF(P65=1,0,IF(P65=2,1,0))</f>
        <v/>
      </c>
      <c r="I304" s="24">
        <f>IF(R17=1,0,IF(R17=2,1,0))</f>
        <v/>
      </c>
      <c r="J304" s="24">
        <f>IF(R18=1,0,IF(R18=2,1,0))</f>
        <v/>
      </c>
      <c r="K304" s="24">
        <f>IF(R19=1,0,IF(R19=2,1,0))</f>
        <v/>
      </c>
      <c r="L304" s="24">
        <f>IF(R43=1,0,IF(R43=2,1,0))</f>
        <v/>
      </c>
      <c r="M304" s="24">
        <f>IF(R55=1,0,IF(R55=2,1,0))</f>
        <v/>
      </c>
      <c r="N304" s="24">
        <f>IF(R57=1,0,IF(R57=2,1,0))</f>
        <v/>
      </c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5">
        <f>SUM(C304:V304)</f>
        <v/>
      </c>
      <c r="X304" s="25">
        <f>SUM(W303:W304)</f>
        <v/>
      </c>
      <c r="Y304" s="24" t="n"/>
      <c r="Z304" s="24" t="n"/>
      <c r="AA304" s="24" t="n"/>
      <c r="AB304" s="24" t="n"/>
      <c r="AC304" s="24" t="n"/>
      <c r="AD304" s="24" t="n"/>
      <c r="AE304" s="24" t="n"/>
      <c r="AF304" s="24" t="n"/>
      <c r="AG304" s="24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</row>
    <row r="305" ht="12.75" customHeight="1" s="110">
      <c r="C305" s="25" t="inlineStr">
        <is>
          <t>Puntuaciones Típicas</t>
        </is>
      </c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  <c r="AA305" s="24" t="n"/>
      <c r="AB305" s="24" t="n"/>
      <c r="AC305" s="24" t="n"/>
      <c r="AD305" s="24" t="n"/>
      <c r="AE305" s="24" t="n"/>
      <c r="AF305" s="24" t="n"/>
      <c r="AG305" s="24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</row>
    <row r="306" ht="12.75" customHeight="1" s="110">
      <c r="C306" s="24">
        <f>IF(X304&lt;=12,30,IF(X304=13,32,IF(X304=14,34,IF(X304=15,37,IF(X304=16,39,IF(X304=17,42,IF(X304=18,45,0)))))))</f>
        <v/>
      </c>
      <c r="D306" s="24">
        <f>IF(X304=19,47,IF(X304=20,50,IF(X304=21,52,IF(X304=22,55,IF(X304=23,57,IF(X304=24,60,IF(X304=25,63,0)))))))</f>
        <v/>
      </c>
      <c r="E306" s="24">
        <f>IF(X304=26,65,IF(X304=27,68,IF(X304=28,70,IF(X304=29,73,IF(X304&gt;=30,76,0)))))</f>
        <v/>
      </c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5">
        <f>SUM(C306:O306)</f>
        <v/>
      </c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  <c r="AA306" s="24" t="n"/>
      <c r="AB306" s="24" t="n"/>
      <c r="AC306" s="24" t="n"/>
      <c r="AD306" s="24" t="n"/>
      <c r="AE306" s="24" t="n"/>
      <c r="AF306" s="24" t="n"/>
      <c r="AG306" s="24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</row>
    <row r="307" ht="12.75" customHeight="1" s="110"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  <c r="AA307" s="24" t="n"/>
      <c r="AB307" s="24" t="n"/>
      <c r="AC307" s="24" t="n"/>
      <c r="AD307" s="24" t="n"/>
      <c r="AE307" s="24" t="n"/>
      <c r="AF307" s="24" t="n"/>
      <c r="AG307" s="24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</row>
    <row r="308" ht="12.75" customHeight="1" s="110">
      <c r="C308" s="25" t="inlineStr">
        <is>
          <t>Escala Mt (Desajuste Escolar)</t>
        </is>
      </c>
      <c r="D308" s="25" t="n"/>
      <c r="E308" s="25" t="n"/>
      <c r="F308" s="25" t="n"/>
      <c r="G308" s="25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  <c r="AC308" s="24" t="n"/>
      <c r="AD308" s="24" t="n"/>
      <c r="AE308" s="24" t="n"/>
      <c r="AF308" s="24" t="n"/>
      <c r="AG308" s="24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</row>
    <row r="309" ht="12.75" customHeight="1" s="110">
      <c r="C309" s="24">
        <f>IF(D22=1,1,IF(D22=2,0,0))</f>
        <v/>
      </c>
      <c r="D309" s="24">
        <f>IF(D23=1,1,IF(D23=2,0,0))</f>
        <v/>
      </c>
      <c r="E309" s="24">
        <f>IF(D35=1,1,IF(D35=2,0,0))</f>
        <v/>
      </c>
      <c r="F309" s="24">
        <f>IF(D38=1,1,IF(D38=2,0,0))</f>
        <v/>
      </c>
      <c r="G309" s="24">
        <f>IF(D45=1,1,IF(D45=2,0,0))</f>
        <v/>
      </c>
      <c r="H309" s="24">
        <f>IF(F18=1,1,IF(F18=2,0,0))</f>
        <v/>
      </c>
      <c r="I309" s="24">
        <f>IF(F20=1,1,IF(F20=2,0,0))</f>
        <v/>
      </c>
      <c r="J309" s="24">
        <f>IF(F28=1,1,IF(F28=2,0,0))</f>
        <v/>
      </c>
      <c r="K309" s="24">
        <f>IF(F29=1,1,IF(F29=2,0,0))</f>
        <v/>
      </c>
      <c r="L309" s="24">
        <f>IF(F57=1,1,IF(F57=2,0,0))</f>
        <v/>
      </c>
      <c r="M309" s="24">
        <f>IF(H17=1,1,IF(H17=2,0,0))</f>
        <v/>
      </c>
      <c r="N309" s="24">
        <f>IF(J42=1,1,IF(J42=2,0,0))</f>
        <v/>
      </c>
      <c r="O309" s="24">
        <f>IF(J45=1,1,IF(J45=2,0,0))</f>
        <v/>
      </c>
      <c r="P309" s="24">
        <f>IF(J60=1,1,IF(J60=2,0,0))</f>
        <v/>
      </c>
      <c r="Q309" s="24">
        <f>IF(L36=1,1,IF(L36=2,0,0))</f>
        <v/>
      </c>
      <c r="R309" s="24">
        <f>IF(L40=1,1,IF(L40=2,0,0))</f>
        <v/>
      </c>
      <c r="S309" s="24">
        <f>IF(L66=1,1,IF(L66=2,0,0))</f>
        <v/>
      </c>
      <c r="T309" s="24">
        <f>IF(N9=1,1,IF(N9=2,0,0))</f>
        <v/>
      </c>
      <c r="U309" s="24">
        <f>IF(N32=1,1,IF(N32=2,0,0))</f>
        <v/>
      </c>
      <c r="V309" s="24" t="n"/>
      <c r="W309" s="25">
        <f>SUM(C309:V309)</f>
        <v/>
      </c>
      <c r="X309" s="25" t="n"/>
      <c r="Y309" s="24" t="n"/>
      <c r="Z309" s="24" t="n"/>
      <c r="AA309" s="24" t="n"/>
      <c r="AB309" s="24" t="n"/>
      <c r="AC309" s="24" t="n"/>
      <c r="AD309" s="24" t="n"/>
      <c r="AE309" s="24" t="n"/>
      <c r="AF309" s="24" t="n"/>
      <c r="AG309" s="24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</row>
    <row r="310" ht="12.75" customHeight="1" s="110">
      <c r="C310" s="24">
        <f>IF(N38=1,1,IF(N38=2,0,0))</f>
        <v/>
      </c>
      <c r="D310" s="24">
        <f>IF(N46=1,1,IF(N46=2,0,0))</f>
        <v/>
      </c>
      <c r="E310" s="24">
        <f>IF(N64=1,1,IF(N64=2,0,0))</f>
        <v/>
      </c>
      <c r="F310" s="24">
        <f>IF(P55=1,1,IF(P55=2,0,0))</f>
        <v/>
      </c>
      <c r="G310" s="24">
        <f>IF(P58=1,1,IF(P58=2,0,0))</f>
        <v/>
      </c>
      <c r="H310" s="24">
        <f>IF(R36=1,1,IF(R36=2,0,0))</f>
        <v/>
      </c>
      <c r="I310" s="24">
        <f>IF(R51=1,1,IF(R51=2,0,0))</f>
        <v/>
      </c>
      <c r="J310" s="24">
        <f>IF(R56=1,1,IF(R56=2,0,0))</f>
        <v/>
      </c>
      <c r="K310" s="24">
        <f>IF(R59=1,1,IF(R59=2,0,0))</f>
        <v/>
      </c>
      <c r="L310" s="24" t="n"/>
      <c r="M310" s="24">
        <f>IF(D9=1,0,IF(D9=2,1,0))</f>
        <v/>
      </c>
      <c r="N310" s="24">
        <f>IF(D10=1,0,IF(D10=2,1,0))</f>
        <v/>
      </c>
      <c r="O310" s="24">
        <f>IF(D16=1,0,IF(D16=2,1,0))</f>
        <v/>
      </c>
      <c r="P310" s="24">
        <f>IF(D17=1,0,IF(D17=2,1,0))</f>
        <v/>
      </c>
      <c r="Q310" s="24">
        <f>IF(D27=1,0,IF(D27=2,1,0))</f>
        <v/>
      </c>
      <c r="R310" s="24">
        <f>IF(D50=1,0,IF(D50=2,1,0))</f>
        <v/>
      </c>
      <c r="S310" s="24">
        <f>IF(F42=1,0,IF(F42=2,1,0))</f>
        <v/>
      </c>
      <c r="T310" s="24">
        <f>IF(H18=1,0,IF(H18=2,1,0))</f>
        <v/>
      </c>
      <c r="U310" s="24">
        <f>IF(H27=1,0,IF(H27=2,1,0))</f>
        <v/>
      </c>
      <c r="V310" s="24" t="n"/>
      <c r="W310" s="25">
        <f>SUM(C310:V310)</f>
        <v/>
      </c>
      <c r="X310" s="25" t="n"/>
      <c r="Y310" s="24" t="n"/>
      <c r="Z310" s="24" t="n"/>
      <c r="AA310" s="24" t="n"/>
      <c r="AB310" s="24" t="n"/>
      <c r="AC310" s="24" t="n"/>
      <c r="AD310" s="24" t="n"/>
      <c r="AE310" s="24" t="n"/>
      <c r="AF310" s="24" t="n"/>
      <c r="AG310" s="24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</row>
    <row r="311" ht="12.75" customHeight="1" s="110">
      <c r="C311" s="24">
        <f>IF(H35=1,0,IF(H35=2,1,0))</f>
        <v/>
      </c>
      <c r="D311" s="24">
        <f>IF(H39=1,0,IF(H39=2,1,0))</f>
        <v/>
      </c>
      <c r="E311" s="24">
        <f>IF(J50=1,0,IF(J50=2,1,0))</f>
        <v/>
      </c>
      <c r="F311" s="24">
        <f>IF(P52=1,0,IF(P52=2,1,0))</f>
        <v/>
      </c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5">
        <f>SUM(C311:V311)</f>
        <v/>
      </c>
      <c r="X311" s="25">
        <f>SUM(W309:W311)</f>
        <v/>
      </c>
      <c r="Y311" s="24" t="n"/>
      <c r="Z311" s="24" t="n"/>
      <c r="AA311" s="24" t="n"/>
      <c r="AB311" s="24" t="n"/>
      <c r="AC311" s="24" t="n"/>
      <c r="AD311" s="24" t="n"/>
      <c r="AE311" s="24" t="n"/>
      <c r="AF311" s="24" t="n"/>
      <c r="AG311" s="24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</row>
    <row r="312" ht="12.75" customHeight="1" s="110">
      <c r="C312" s="25" t="inlineStr">
        <is>
          <t>Puntuaciones Típicas</t>
        </is>
      </c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  <c r="AC312" s="24" t="n"/>
      <c r="AD312" s="24" t="n"/>
      <c r="AE312" s="24" t="n"/>
      <c r="AF312" s="24" t="n"/>
      <c r="AG312" s="24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</row>
    <row r="313" ht="12.75" customHeight="1" s="110">
      <c r="C313" s="24">
        <f>IF(X311=0,32,IF(X311=1,34,IF(X311=2,36,IF(X311=3,37,IF(X311=4,39,IF(X311=5,40,IF(X311=6,42,0)))))))</f>
        <v/>
      </c>
      <c r="D313" s="24">
        <f>IF(X311=7,43,IF(X311=8,45,IF(X311=9,46,IF(X311=10,48,IF(X311=11,50,IF(X311=12,51,IF(X311=13,53,0)))))))</f>
        <v/>
      </c>
      <c r="E313" s="24">
        <f>IF(X311=14,54,IF(X311=15,56,IF(X311=16,57,IF(X311=17,59,IF(X311=18,60,IF(X311=19,62,IF(X311=20,64,0)))))))</f>
        <v/>
      </c>
      <c r="F313" s="24">
        <f>IF(X311=21,65,IF(X311=22,67,IF(X311=23,68,IF(X311=24,70,IF(X311=25,71,IF(X311=26,73,IF(X311=27,74,0)))))))</f>
        <v/>
      </c>
      <c r="G313" s="24">
        <f>IF(X311=28,76,IF(X311=29,77,IF(X311=30,79,IF(X311=31,81,IF(X311=32,82,IF(X311=33,84,IF(X311=34,85,0)))))))</f>
        <v/>
      </c>
      <c r="H313" s="24">
        <f>IF(X311=35,87,IF(X311=36,88,IF(X311=37,90,IF(X311=38,91,IF(X311=39,93,IF(X311=40,95,IF(X311&gt;=41,96,0)))))))</f>
        <v/>
      </c>
      <c r="I313" s="24" t="n"/>
      <c r="J313" s="24" t="n"/>
      <c r="K313" s="24" t="n"/>
      <c r="L313" s="24" t="n"/>
      <c r="M313" s="24" t="n"/>
      <c r="N313" s="24" t="n"/>
      <c r="O313" s="24" t="n"/>
      <c r="P313" s="25">
        <f>SUM(C313:O313)</f>
        <v/>
      </c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  <c r="AC313" s="24" t="n"/>
      <c r="AD313" s="24" t="n"/>
      <c r="AE313" s="24" t="n"/>
      <c r="AF313" s="24" t="n"/>
      <c r="AG313" s="24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</row>
    <row r="314" ht="12.75" customHeight="1" s="110"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  <c r="AA314" s="24" t="n"/>
      <c r="AB314" s="24" t="n"/>
      <c r="AC314" s="24" t="n"/>
      <c r="AD314" s="24" t="n"/>
      <c r="AE314" s="24" t="n"/>
      <c r="AF314" s="24" t="n"/>
      <c r="AG314" s="24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</row>
    <row r="315" ht="12.75" customHeight="1" s="110">
      <c r="C315" s="25" t="inlineStr">
        <is>
          <t>Escala GM (Rol del Género Masculino)</t>
        </is>
      </c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  <c r="AC315" s="24" t="n"/>
      <c r="AD315" s="24" t="n"/>
      <c r="AE315" s="24" t="n"/>
      <c r="AF315" s="24" t="n"/>
      <c r="AG315" s="24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</row>
    <row r="316" ht="12.75" customHeight="1" s="110">
      <c r="C316" s="24">
        <f>IF(D15=1,1,IF(D15=2,0,0))</f>
        <v/>
      </c>
      <c r="D316" s="24">
        <f>IF(D27=1,1,IF(D27=2,0,0))</f>
        <v/>
      </c>
      <c r="E316" s="24">
        <f>IF(H30=1,1,IF(H30=2,0,0))</f>
        <v/>
      </c>
      <c r="F316" s="24">
        <f>IF(H39=1,1,IF(H39=2,0,0))</f>
        <v/>
      </c>
      <c r="G316" s="24">
        <f>IF(H46=1,1,IF(H46=2,0,0))</f>
        <v/>
      </c>
      <c r="H316" s="24">
        <f>IF(H50=1,1,IF(H50=2,0,0))</f>
        <v/>
      </c>
      <c r="I316" s="24">
        <f>IF(H63=1,1,IF(H63=2,0,0))</f>
        <v/>
      </c>
      <c r="J316" s="24">
        <f>IF(J26=1,1,IF(J26=2,0,0))</f>
        <v/>
      </c>
      <c r="K316" s="24">
        <f>IF(J41=1,1,IF(J41=2,0,0))</f>
        <v/>
      </c>
      <c r="L316" s="24">
        <f>IF(J64=1,1,IF(J64=2,0,0))</f>
        <v/>
      </c>
      <c r="M316" s="24">
        <f>IF(N28=1,1,IF(N28=2,0,0))</f>
        <v/>
      </c>
      <c r="N316" s="24">
        <f>IF(N57=1,1,IF(N57=2,0,0))</f>
        <v/>
      </c>
      <c r="O316" s="24">
        <f>IF(P32=1,1,IF(P32=2,0,0))</f>
        <v/>
      </c>
      <c r="P316" s="24">
        <f>IF(P35=1,1,IF(P35=2,0,0))</f>
        <v/>
      </c>
      <c r="Q316" s="24">
        <f>IF(P48=1,1,IF(P48=2,0,0))</f>
        <v/>
      </c>
      <c r="R316" s="24">
        <f>IF(R27=1,1,IF(R27=2,0,0))</f>
        <v/>
      </c>
      <c r="S316" s="24">
        <f>IF(R49=1,1,IF(R49=2,0,0))</f>
        <v/>
      </c>
      <c r="T316" s="24">
        <f>IF(R54=1,1,IF(R54=2,0,0))</f>
        <v/>
      </c>
      <c r="U316" s="24">
        <f>IF(R61=1,1,IF(R61=2,0,0))</f>
        <v/>
      </c>
      <c r="V316" s="24" t="n"/>
      <c r="W316" s="25">
        <f>SUM(C316:V316)</f>
        <v/>
      </c>
      <c r="X316" s="25" t="n"/>
      <c r="Y316" s="24" t="n"/>
      <c r="Z316" s="24" t="n"/>
      <c r="AA316" s="24" t="n"/>
      <c r="AB316" s="24" t="n"/>
      <c r="AC316" s="24" t="n"/>
      <c r="AD316" s="24" t="n"/>
      <c r="AE316" s="24" t="n"/>
      <c r="AF316" s="24" t="n"/>
      <c r="AG316" s="24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</row>
    <row r="317" ht="12.75" customHeight="1" s="110">
      <c r="C317" s="24">
        <f>IF(D11=1,0,IF(D11=2,1,0))</f>
        <v/>
      </c>
      <c r="D317" s="24">
        <f>IF(D30=1,0,IF(D30=2,1,0))</f>
        <v/>
      </c>
      <c r="E317" s="24">
        <f>IF(D51=1,0,IF(D51=2,1,0))</f>
        <v/>
      </c>
      <c r="F317" s="24">
        <f>IF(F11=1,0,IF(F11=2,1,0))</f>
        <v/>
      </c>
      <c r="G317" s="24">
        <f>IF(F17=1,0,IF(F17=2,1,0))</f>
        <v/>
      </c>
      <c r="H317" s="24">
        <f>IF(F20=1,0,IF(F20=2,1,0))</f>
        <v/>
      </c>
      <c r="I317" s="24">
        <f>IF(F21=1,0,IF(F21=2,1))</f>
        <v/>
      </c>
      <c r="J317" s="24">
        <f>IF(F27=1,0,IF(F27=2,1))</f>
        <v/>
      </c>
      <c r="K317" s="24">
        <f>IF(F47=1,0,IF(F47=2,1,0))</f>
        <v/>
      </c>
      <c r="L317" s="24">
        <f>IF(H24=1,0,IF(H24=2,1,0))</f>
        <v/>
      </c>
      <c r="M317" s="24">
        <f>IF(H33=1,0,IF(H33=2,1,0))</f>
        <v/>
      </c>
      <c r="N317" s="24">
        <f>IF(J14=1,0,IF(J14=2,1,0))</f>
        <v/>
      </c>
      <c r="O317" s="24">
        <f>IF(L56=1,0,IF(L56=2,1,0))</f>
        <v/>
      </c>
      <c r="P317" s="24">
        <f>IF(N38=1,0,IF(N38=2,1,0))</f>
        <v/>
      </c>
      <c r="Q317" s="24">
        <f>IF(N58=1,0,IF(N58=2,1,0))</f>
        <v/>
      </c>
      <c r="R317" s="24">
        <f>IF(P11=1,0,IF(P11=2,1,0))</f>
        <v/>
      </c>
      <c r="S317" s="24">
        <f>IF(P39=1,0,IF(P39=2,1,0))</f>
        <v/>
      </c>
      <c r="T317" s="24">
        <f>IF(P42=1,0,IF(P42=2,1,0))</f>
        <v/>
      </c>
      <c r="U317" s="24">
        <f>IF(R22=1,0,IF(R22=2,1,0))</f>
        <v/>
      </c>
      <c r="V317" s="24" t="n"/>
      <c r="W317" s="25">
        <f>SUM(C317:V317)</f>
        <v/>
      </c>
      <c r="X317" s="25" t="n"/>
      <c r="Y317" s="24" t="n"/>
      <c r="Z317" s="24" t="n"/>
      <c r="AA317" s="24" t="n"/>
      <c r="AB317" s="24" t="n"/>
      <c r="AC317" s="24" t="n"/>
      <c r="AD317" s="24" t="n"/>
      <c r="AE317" s="24" t="n"/>
      <c r="AF317" s="24" t="n"/>
      <c r="AG317" s="24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</row>
    <row r="318" ht="12.75" customHeight="1" s="110">
      <c r="C318" s="24">
        <f>IF(R25=1,0,IF(R25=2,1,0))</f>
        <v/>
      </c>
      <c r="D318" s="24">
        <f>IF(R28=1,0,IF(R28=2,1,0))</f>
        <v/>
      </c>
      <c r="E318" s="24">
        <f>IF(R56=1,0,IF(R56=2,1,0))</f>
        <v/>
      </c>
      <c r="F318" s="24">
        <f>IF(R58=1,0,IF(R58=2,1,0))</f>
        <v/>
      </c>
      <c r="G318" s="24">
        <f>IF(T25=1,0,IF(T25=2,1))</f>
        <v/>
      </c>
      <c r="H318" s="24">
        <f>IF(T36=1,0,IF(T36=2,1,0))</f>
        <v/>
      </c>
      <c r="I318" s="24">
        <f>IF(T46=1,0,IF(T46=2,1,0))</f>
        <v/>
      </c>
      <c r="J318" s="24">
        <f>IF(T59=1,0,IF(T59=2,1,0))</f>
        <v/>
      </c>
      <c r="K318" s="24">
        <f>IF(T63=1,0,IF(T63=2,1,0))</f>
        <v/>
      </c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5">
        <f>SUM(C318:V318)</f>
        <v/>
      </c>
      <c r="X318" s="25">
        <f>SUM(W316:W318)</f>
        <v/>
      </c>
      <c r="Y318" s="24" t="n"/>
      <c r="Z318" s="24" t="n"/>
      <c r="AA318" s="24" t="n"/>
      <c r="AB318" s="24" t="n"/>
      <c r="AC318" s="24" t="n"/>
      <c r="AD318" s="24" t="n"/>
      <c r="AE318" s="24" t="n"/>
      <c r="AF318" s="24" t="n"/>
      <c r="AG318" s="24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</row>
    <row r="319" ht="12.75" customHeight="1" s="110">
      <c r="C319" s="25" t="inlineStr">
        <is>
          <t>Puntuaciones Típicas</t>
        </is>
      </c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  <c r="AC319" s="24" t="n"/>
      <c r="AD319" s="24" t="n"/>
      <c r="AE319" s="24" t="n"/>
      <c r="AF319" s="24" t="n"/>
      <c r="AG319" s="24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</row>
    <row r="320" ht="12.75" customHeight="1" s="110">
      <c r="C320" s="24">
        <f>IF(X318&lt;=28,30,IF(X318=29,32,IF(X318=30,34,IF(X318=31,36,IF(X318=32,38,IF(X318=33,40,IF(X318=34,42,0)))))))</f>
        <v/>
      </c>
      <c r="D320" s="24">
        <f>IF(X318=35,44,IF(X318=36,46,IF(X318=37,48,IF(X318=38,50,IF(X318=39,52,IF(X318=40,54,IF(X318=41,56,0)))))))</f>
        <v/>
      </c>
      <c r="E320" s="24">
        <f>IF(X318=42,58,IF(X318=43,61,IF(X318=44,63,IF(X318=45,65,IF(X318=46,67,IF(X318&gt;=47,69,0))))))</f>
        <v/>
      </c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5">
        <f>SUM(C320:O320)</f>
        <v/>
      </c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  <c r="AA320" s="24" t="n"/>
      <c r="AB320" s="24" t="n"/>
      <c r="AC320" s="24" t="n"/>
      <c r="AD320" s="24" t="n"/>
      <c r="AE320" s="24" t="n"/>
      <c r="AF320" s="24" t="n"/>
      <c r="AG320" s="24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</row>
    <row r="321" ht="12.75" customHeight="1" s="110"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  <c r="AC321" s="24" t="n"/>
      <c r="AD321" s="24" t="n"/>
      <c r="AE321" s="24" t="n"/>
      <c r="AF321" s="24" t="n"/>
      <c r="AG321" s="24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</row>
    <row r="322" ht="12.75" customHeight="1" s="110">
      <c r="C322" s="25" t="inlineStr">
        <is>
          <t>Escala GF (Rol del Género Femenino)</t>
        </is>
      </c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  <c r="AA322" s="24" t="n"/>
      <c r="AB322" s="24" t="n"/>
      <c r="AC322" s="24" t="n"/>
      <c r="AD322" s="24" t="n"/>
      <c r="AE322" s="24" t="n"/>
      <c r="AF322" s="24" t="n"/>
      <c r="AG322" s="24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</row>
    <row r="323" ht="12.75" customHeight="1" s="110">
      <c r="C323" s="24">
        <f>IF(F9=1,1,IF(F9=2,0,0))</f>
        <v/>
      </c>
      <c r="D323" s="24">
        <f>IF(F14=1,1,IF(F14=2,0,0))</f>
        <v/>
      </c>
      <c r="E323" s="24">
        <f>IF(F66=1,1,IF(F66=2,0,0))</f>
        <v/>
      </c>
      <c r="F323" s="24">
        <f>IF(H8=1,1,IF(H8=2,0,0))</f>
        <v/>
      </c>
      <c r="G323" s="24">
        <f>IF(H15=1,1,IF(H15=2,0,0))</f>
        <v/>
      </c>
      <c r="H323" s="24">
        <f>IF(J30=1,1,IF(J30=2,0,0))</f>
        <v/>
      </c>
      <c r="I323" s="24">
        <f>IF(L30=1,1,IF(L30=2,0,0))</f>
        <v/>
      </c>
      <c r="J323" s="24">
        <f>IF(L33=1,1,IF(L33=2,0,0))</f>
        <v/>
      </c>
      <c r="K323" s="24">
        <f>IF(N60=1,1,IF(N60=2,0,0))</f>
        <v/>
      </c>
      <c r="L323" s="24">
        <f>IF(P31=1,1,IF(P31=2,0,0))</f>
        <v/>
      </c>
      <c r="M323" s="24">
        <f>IF(R13=1,1,IF(R13=2,0,0))</f>
        <v/>
      </c>
      <c r="N323" s="24">
        <f>IF(R36=1,1,IF(R36=2,0,0))</f>
        <v/>
      </c>
      <c r="O323" s="24">
        <f>IF(R43=1,1,IF(R43=2,0,0))</f>
        <v/>
      </c>
      <c r="P323" s="24">
        <f>IF(R60=1,1,IF(R60=2,0,0))</f>
        <v/>
      </c>
      <c r="Q323" s="24">
        <f>IF(V19=1,1,IF(V19=2,0,0))</f>
        <v/>
      </c>
      <c r="R323" s="24" t="n"/>
      <c r="S323" s="24">
        <f>IF(D8=1,0,IF(D8=2,1))</f>
        <v/>
      </c>
      <c r="T323" s="24">
        <f>IF(D34=1,0,IF(D34=2,1,0))</f>
        <v/>
      </c>
      <c r="U323" s="24">
        <f>IF(F10=1,0,IF(F10=2,0,0))</f>
        <v/>
      </c>
      <c r="V323" s="24" t="n"/>
      <c r="W323" s="25">
        <f>SUM(C323:U323)</f>
        <v/>
      </c>
      <c r="X323" s="25" t="n"/>
      <c r="Y323" s="24" t="n"/>
      <c r="Z323" s="24" t="n"/>
      <c r="AA323" s="24" t="n"/>
      <c r="AB323" s="24" t="n"/>
      <c r="AC323" s="24" t="n"/>
      <c r="AD323" s="24" t="n"/>
      <c r="AE323" s="24" t="n"/>
      <c r="AF323" s="24" t="n"/>
      <c r="AG323" s="24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</row>
    <row r="324" ht="12.75" customHeight="1" s="110">
      <c r="C324" s="24">
        <f>IF(F15=1,0,IF(F15=2,1,0))</f>
        <v/>
      </c>
      <c r="D324" s="24">
        <f>IF(F26=1,0,IF(F26=2,1,0))</f>
        <v/>
      </c>
      <c r="E324" s="24">
        <f>IF(F31=1,0,IF(F31=2,1,0))</f>
        <v/>
      </c>
      <c r="F324" s="24">
        <f>IF(F52=1,0,IF(F52=2,1,0))</f>
        <v/>
      </c>
      <c r="G324" s="24">
        <f>IF(H10=1,0,IF(H10=2,1,0))</f>
        <v/>
      </c>
      <c r="H324" s="24">
        <f>IF(H20=1,0,IF(H20=2,1,0))</f>
        <v/>
      </c>
      <c r="I324" s="24">
        <f>IF(H42=1,0,IF(H42=2,1,0))</f>
        <v/>
      </c>
      <c r="J324" s="24">
        <f>IF(J24=1,0,IF(J24=2,1,0))</f>
        <v/>
      </c>
      <c r="K324" s="24">
        <f>IF(J28=1,0,IF(J28=2,1,0))</f>
        <v/>
      </c>
      <c r="L324" s="24">
        <f>IF(J47=1,0,IF(J47=2,1,0))</f>
        <v/>
      </c>
      <c r="M324" s="24">
        <f>IF(J58=1,0,IF(J58=2,1,0))</f>
        <v/>
      </c>
      <c r="N324" s="24">
        <f>IF(J65=1,0,IF(J65=2,1))</f>
        <v/>
      </c>
      <c r="O324" s="24">
        <f>IF(J66=1,0,IF(J66=2,1,0))</f>
        <v/>
      </c>
      <c r="P324" s="24">
        <f>IF(L17=1,0,IF(L17=2,1,0))</f>
        <v/>
      </c>
      <c r="Q324" s="24">
        <f>IF(L24=1,0,IF(L24=2,1,0))</f>
        <v/>
      </c>
      <c r="R324" s="24">
        <f>IF(L31=1,0,IF(L31=2,1,0))</f>
        <v/>
      </c>
      <c r="S324" s="24">
        <f>IF(L39=1,0,IF(L39=2,1,0))</f>
        <v/>
      </c>
      <c r="T324" s="24">
        <f>IF(L54=1,0,IF(L54=2,1,0))</f>
        <v/>
      </c>
      <c r="U324" s="24">
        <f>IF(P53=1,0,IF(P53=2,1,0))</f>
        <v/>
      </c>
      <c r="V324" s="24" t="n"/>
      <c r="W324" s="25">
        <f>SUM(C324:V324)</f>
        <v/>
      </c>
      <c r="X324" s="25" t="n"/>
      <c r="Y324" s="24" t="n"/>
      <c r="Z324" s="24" t="n"/>
      <c r="AA324" s="24" t="n"/>
      <c r="AB324" s="24" t="n"/>
      <c r="AC324" s="24" t="n"/>
      <c r="AD324" s="24" t="n"/>
      <c r="AE324" s="24" t="n"/>
      <c r="AF324" s="24" t="n"/>
      <c r="AG324" s="24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</row>
    <row r="325" ht="12.75" customHeight="1" s="110">
      <c r="C325" s="24">
        <f>IF(P64=1,0,IF(P64=2,1,0))</f>
        <v/>
      </c>
      <c r="D325" s="24">
        <f>IF(R52=1,0,IF(R52=2,1,0))</f>
        <v/>
      </c>
      <c r="E325" s="24">
        <f>IF(R64=1,0,IF(R64=2,1,0))</f>
        <v/>
      </c>
      <c r="F325" s="24">
        <f>IF(T14=1,0,IF(T14=2,1,0))</f>
        <v/>
      </c>
      <c r="G325" s="24">
        <f>IF(T37=1,0,IF(T37=2,1,0))</f>
        <v/>
      </c>
      <c r="H325" s="24">
        <f>IF(T38=1,0,IF(T38=2,1,0))</f>
        <v/>
      </c>
      <c r="I325" s="24">
        <f>IF(T64=1,0,IF(T64=2,1,0))</f>
        <v/>
      </c>
      <c r="J325" s="24">
        <f>IF(V15=1,0,IF(V15=2,1,0))</f>
        <v/>
      </c>
      <c r="K325" s="24" t="inlineStr">
        <is>
          <t xml:space="preserve">       </t>
        </is>
      </c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5">
        <f>SUM(C325:V325)</f>
        <v/>
      </c>
      <c r="X325" s="25">
        <f>SUM(W323:W325)</f>
        <v/>
      </c>
      <c r="Y325" s="24" t="n"/>
      <c r="Z325" s="24" t="n"/>
      <c r="AA325" s="24" t="n"/>
      <c r="AB325" s="24" t="n"/>
      <c r="AC325" s="24" t="n"/>
      <c r="AD325" s="24" t="n"/>
      <c r="AE325" s="24" t="n"/>
      <c r="AF325" s="24" t="n"/>
      <c r="AG325" s="24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</row>
    <row r="326" ht="12.75" customHeight="1" s="110">
      <c r="C326" s="25" t="inlineStr">
        <is>
          <t>Puntuaciones Típicas</t>
        </is>
      </c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  <c r="AC326" s="24" t="n"/>
      <c r="AD326" s="24" t="n"/>
      <c r="AE326" s="24" t="n"/>
      <c r="AF326" s="24" t="n"/>
      <c r="AG326" s="24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</row>
    <row r="327" ht="12.75" customHeight="1" s="110">
      <c r="C327" s="24">
        <f>IF(X325&lt;=18,30,IF(X325=19,31,IF(X325=20,33,IF(X325=21,35,IF(X325=22,37,IF(X325=23,40,IF(X325=24,42,0)))))))</f>
        <v/>
      </c>
      <c r="D327" s="24">
        <f>IF(X325=25,44,IF(X325=26,46,IF(X325=27,48,IF(X325=28,50,IF(X325=29,52,IF(X325=30,54,IF(X325=31,57,0)))))))</f>
        <v/>
      </c>
      <c r="E327" s="24">
        <f>IF(X325=32,59,IF(X325=33,61,IF(X325=34,63,IF(X325=35,65,IF(X325=36,67,IF(X325=37,69,IF(X325=38,71,0)))))))</f>
        <v/>
      </c>
      <c r="F327" s="24">
        <f>IF(X325=39,73,IF(X325=40,76,IF(X325=41,78,IF(X325=42,80,IF(X325=43,82,IF(X325=44,84,IF(X325=45,86,IF(X325&gt;=46,88,0))))))))</f>
        <v/>
      </c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5">
        <f>SUM(C327:O327)</f>
        <v/>
      </c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  <c r="AC327" s="24" t="n"/>
      <c r="AD327" s="24" t="n"/>
      <c r="AE327" s="24" t="n"/>
      <c r="AF327" s="24" t="n"/>
      <c r="AG327" s="24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</row>
    <row r="328" ht="12.75" customHeight="1" s="110">
      <c r="C328" s="24" t="n"/>
      <c r="D328" s="24" t="n"/>
      <c r="E328" s="24" t="n"/>
      <c r="F328" s="24" t="n"/>
      <c r="G328" s="24" t="n"/>
      <c r="H328" s="24" t="inlineStr">
        <is>
          <t xml:space="preserve">            </t>
        </is>
      </c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  <c r="AC328" s="24" t="n"/>
      <c r="AD328" s="24" t="n"/>
      <c r="AE328" s="24" t="n"/>
      <c r="AF328" s="24" t="n"/>
      <c r="AG328" s="24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</row>
    <row r="329" ht="12.75" customHeight="1" s="110">
      <c r="C329" s="25" t="inlineStr">
        <is>
          <t>Verdadera Inconsistencia de Respuesta</t>
        </is>
      </c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  <c r="AC329" s="24" t="n"/>
      <c r="AD329" s="24" t="n"/>
      <c r="AE329" s="24" t="n"/>
      <c r="AF329" s="24" t="n"/>
      <c r="AG329" s="24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</row>
    <row r="330" ht="12.75" customHeight="1" s="110">
      <c r="C330" s="25" t="inlineStr">
        <is>
          <t>Verdaderas</t>
        </is>
      </c>
      <c r="D330" s="24" t="n"/>
      <c r="E330" s="24" t="n"/>
      <c r="F330" s="24" t="n"/>
      <c r="G330" s="24" t="n"/>
      <c r="H330" s="25" t="inlineStr">
        <is>
          <t>Falsas</t>
        </is>
      </c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  <c r="AC330" s="24" t="n"/>
      <c r="AD330" s="24" t="n"/>
      <c r="AE330" s="24" t="n"/>
      <c r="AF330" s="24" t="n"/>
      <c r="AG330" s="24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</row>
    <row r="331" ht="12.75" customHeight="1" s="110">
      <c r="C331" s="24">
        <f>IF(D10=1,1,IF(D10=2,0,0))</f>
        <v/>
      </c>
      <c r="D331" s="24">
        <f>IF(D46=1,1,IF(D46=2,0,0))</f>
        <v/>
      </c>
      <c r="E331" s="24">
        <f>SUM(C331:D331)</f>
        <v/>
      </c>
      <c r="F331" s="24">
        <f>IF(E331&lt;2,0,1)</f>
        <v/>
      </c>
      <c r="G331" s="24" t="n"/>
      <c r="H331" s="24">
        <f>IF(D16=1,0,IF(D16=2,1,0))</f>
        <v/>
      </c>
      <c r="I331" s="24">
        <f>IF(D63=1,0,IF(D63=2,1,0))</f>
        <v/>
      </c>
      <c r="J331" s="24">
        <f>SUM(H331:I331)</f>
        <v/>
      </c>
      <c r="K331" s="24">
        <f>IF(J331&lt;2,0,1)</f>
        <v/>
      </c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  <c r="AA331" s="24" t="n"/>
      <c r="AB331" s="24" t="n"/>
      <c r="AC331" s="24" t="n"/>
      <c r="AD331" s="24" t="n"/>
      <c r="AE331" s="24" t="n"/>
      <c r="AF331" s="24" t="n"/>
      <c r="AG331" s="24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</row>
    <row r="332" ht="12.75" customHeight="1" s="110">
      <c r="C332" s="24">
        <f>IF(D19=1,1,IF(D19=2,0,0))</f>
        <v/>
      </c>
      <c r="D332" s="24">
        <f>IF(H53=1,1,IF(H53=2,0,0))</f>
        <v/>
      </c>
      <c r="E332" s="24">
        <f>SUM(C332:D332)</f>
        <v/>
      </c>
      <c r="F332" s="24">
        <f>IF(E332&lt;2,0,1)</f>
        <v/>
      </c>
      <c r="G332" s="24" t="n"/>
      <c r="H332" s="24">
        <f>IF(F12=1,0,IF(F12=2,1,0))</f>
        <v/>
      </c>
      <c r="I332" s="24">
        <f>IF(F42=1,0,IF(F42=2,1,0))</f>
        <v/>
      </c>
      <c r="J332" s="24">
        <f>SUM(H332:I332)</f>
        <v/>
      </c>
      <c r="K332" s="24">
        <f>IF(J332&lt;2,0,1)</f>
        <v/>
      </c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  <c r="AC332" s="24" t="n"/>
      <c r="AD332" s="24" t="n"/>
      <c r="AE332" s="24" t="n"/>
      <c r="AF332" s="24" t="n"/>
      <c r="AG332" s="24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</row>
    <row r="333" ht="12.75" customHeight="1" s="110">
      <c r="C333" s="24">
        <f>IF(D47=1,1,IF(D47=2,0,0))</f>
        <v/>
      </c>
      <c r="D333" s="24">
        <f>IF(H63=1,1,IF(H63=2,0,0))</f>
        <v/>
      </c>
      <c r="E333" s="24">
        <f>SUM(C333:D333)</f>
        <v/>
      </c>
      <c r="F333" s="24">
        <f>IF(E333&lt;2,0,1)</f>
        <v/>
      </c>
      <c r="G333" s="24" t="n"/>
      <c r="H333" s="24">
        <f>IF(H12=1,0,IF(H12=2,1,0))</f>
        <v/>
      </c>
      <c r="I333" s="24">
        <f>IF(J22=1,0,IF(J22=2,1,0))</f>
        <v/>
      </c>
      <c r="J333" s="24">
        <f>SUM(H333:I333)</f>
        <v/>
      </c>
      <c r="K333" s="24">
        <f>IF(J333&lt;2,0,1)</f>
        <v/>
      </c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  <c r="AC333" s="24" t="n"/>
      <c r="AD333" s="24" t="n"/>
      <c r="AE333" s="24" t="n"/>
      <c r="AF333" s="24" t="n"/>
      <c r="AG333" s="24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</row>
    <row r="334" ht="12.75" customHeight="1" s="110">
      <c r="C334" s="24">
        <f>IF(D55=1,1,IF(D55=2,0,0))</f>
        <v/>
      </c>
      <c r="D334" s="24">
        <f>IF(J11=1,1,IF(J11=2,0,0))</f>
        <v/>
      </c>
      <c r="E334" s="24">
        <f>SUM(C334:D334)</f>
        <v/>
      </c>
      <c r="F334" s="24">
        <f>IF(E334&lt;2,0,1)</f>
        <v/>
      </c>
      <c r="G334" s="24" t="n"/>
      <c r="H334" s="24">
        <f>IF(H27=1,0,IF(H27=2,1,0))</f>
        <v/>
      </c>
      <c r="I334" s="24">
        <f>IF(J23=1,0,IF(J23=2,1,0))</f>
        <v/>
      </c>
      <c r="J334" s="24">
        <f>SUM(H334:I334)</f>
        <v/>
      </c>
      <c r="K334" s="24">
        <f>IF(J334&lt;2,0,1)</f>
        <v/>
      </c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  <c r="AA334" s="24" t="n"/>
      <c r="AB334" s="24" t="n"/>
      <c r="AC334" s="24" t="n"/>
      <c r="AD334" s="24" t="n"/>
      <c r="AE334" s="24" t="n"/>
      <c r="AF334" s="24" t="n"/>
      <c r="AG334" s="24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</row>
    <row r="335" ht="12.75" customHeight="1" s="110">
      <c r="C335" s="24">
        <f>IF(F10=1,1,IF(F10=2,0,0))</f>
        <v/>
      </c>
      <c r="D335" s="24">
        <f>IF(H14=1,1,IF(H14=2,0,0))</f>
        <v/>
      </c>
      <c r="E335" s="24">
        <f>SUM(C335:D335)</f>
        <v/>
      </c>
      <c r="F335" s="24">
        <f>IF(E335&lt;2,0,1)</f>
        <v/>
      </c>
      <c r="G335" s="24" t="n"/>
      <c r="H335" s="24">
        <f>IF(H39=1,0,IF(H39=2,1,0))</f>
        <v/>
      </c>
      <c r="I335" s="24">
        <f>IF(R51=1,0,IF(R51=2,1,0))</f>
        <v/>
      </c>
      <c r="J335" s="24">
        <f>SUM(H335:I335)</f>
        <v/>
      </c>
      <c r="K335" s="24">
        <f>IF(J335&lt;2,0,1)</f>
        <v/>
      </c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  <c r="AC335" s="24" t="n"/>
      <c r="AD335" s="24" t="n"/>
      <c r="AE335" s="24" t="n"/>
      <c r="AF335" s="24" t="n"/>
      <c r="AG335" s="24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</row>
    <row r="336" ht="12.75" customHeight="1" s="110">
      <c r="C336" s="24">
        <f>IF(F12=1,1,IF(F12=2,0,0))</f>
        <v/>
      </c>
      <c r="D336" s="24">
        <f>IF(F42=1,1,IF(F42=2,0,0))</f>
        <v/>
      </c>
      <c r="E336" s="24">
        <f>SUM(C336:D336)</f>
        <v/>
      </c>
      <c r="F336" s="24">
        <f>IF(E336&lt;2,0,1)</f>
        <v/>
      </c>
      <c r="G336" s="24" t="n"/>
      <c r="H336" s="24">
        <f>IF(H52=1,0,IF(H52=2,1,0))</f>
        <v/>
      </c>
      <c r="I336" s="24">
        <f>IF(V32=1,0,IF(V32=2,1,0))</f>
        <v/>
      </c>
      <c r="J336" s="24">
        <f>SUM(H336:I336)</f>
        <v/>
      </c>
      <c r="K336" s="24">
        <f>IF(J336&lt;2,0,1)</f>
        <v/>
      </c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  <c r="AA336" s="24" t="n"/>
      <c r="AB336" s="24" t="n"/>
      <c r="AC336" s="24" t="n"/>
      <c r="AD336" s="24" t="n"/>
      <c r="AE336" s="24" t="n"/>
      <c r="AF336" s="24" t="n"/>
      <c r="AG336" s="24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</row>
    <row r="337" ht="12.75" customHeight="1" s="110">
      <c r="C337" s="24">
        <f>IF(F20=1,1,IF(F20=2,0,0))</f>
        <v/>
      </c>
      <c r="D337" s="24">
        <f>IF(J66=1,1,IF(J66=2,0,0))</f>
        <v/>
      </c>
      <c r="E337" s="24">
        <f>SUM(C337:D337)</f>
        <v/>
      </c>
      <c r="F337" s="24">
        <f>IF(E337&lt;2,0,1)</f>
        <v/>
      </c>
      <c r="G337" s="24" t="n"/>
      <c r="H337" s="24">
        <f>IF(L29=1,0,IF(L29=2,1,0))</f>
        <v/>
      </c>
      <c r="I337" s="24">
        <f>IF(L42=1,0,IF(L42=2,1,0))</f>
        <v/>
      </c>
      <c r="J337" s="24">
        <f>SUM(H337:I337)</f>
        <v/>
      </c>
      <c r="K337" s="24">
        <f>IF(J337&lt;2,0,1)</f>
        <v/>
      </c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  <c r="AC337" s="24" t="n"/>
      <c r="AD337" s="24" t="n"/>
      <c r="AE337" s="24" t="n"/>
      <c r="AF337" s="24" t="n"/>
      <c r="AG337" s="24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</row>
    <row r="338" ht="12.75" customHeight="1" s="110">
      <c r="C338" s="24">
        <f>IF(F30=1,1,IF(F30=2,0,0))</f>
        <v/>
      </c>
      <c r="D338" s="24">
        <f>IF(L55=1,1,IF(L55=2,0,0))</f>
        <v/>
      </c>
      <c r="E338" s="24">
        <f>SUM(C338:D338)</f>
        <v/>
      </c>
      <c r="F338" s="24">
        <f>IF(E338&lt;2,0,1)</f>
        <v/>
      </c>
      <c r="G338" s="24" t="n"/>
      <c r="H338" s="24">
        <f>IF(L32=1,0,IF(L32=2,1,0))</f>
        <v/>
      </c>
      <c r="I338" s="24">
        <f>IF(N67=1,0,IF(N67=2,1,0))</f>
        <v/>
      </c>
      <c r="J338" s="24">
        <f>SUM(H338:I338)</f>
        <v/>
      </c>
      <c r="K338" s="24">
        <f>IF(J338&lt;2,0,1)</f>
        <v/>
      </c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  <c r="AC338" s="24" t="n"/>
      <c r="AD338" s="24" t="n"/>
      <c r="AE338" s="24" t="n"/>
      <c r="AF338" s="24" t="n"/>
      <c r="AG338" s="24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</row>
    <row r="339" ht="12.75" customHeight="1" s="110">
      <c r="C339" s="24">
        <f>IF(F46=1,1,IF(F46=2,0,0))</f>
        <v/>
      </c>
      <c r="D339" s="24">
        <f>IF(N21=1,1,IF(N21=2,0,0))</f>
        <v/>
      </c>
      <c r="E339" s="24">
        <f>SUM(C339:D339)</f>
        <v/>
      </c>
      <c r="F339" s="24">
        <f>IF(E339&lt;2,0,1)</f>
        <v/>
      </c>
      <c r="G339" s="24" t="n"/>
      <c r="H339" s="24">
        <f>IF(N66=1,0,IF(N66=2,1,0))</f>
        <v/>
      </c>
      <c r="I339" s="24">
        <f>IF(P14=1,0,IF(P14=2,1,0))</f>
        <v/>
      </c>
      <c r="J339" s="24">
        <f>SUM(H339:I339)</f>
        <v/>
      </c>
      <c r="K339" s="24">
        <f>IF(J339&lt;2,0,1)</f>
        <v/>
      </c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  <c r="AA339" s="24" t="n"/>
      <c r="AB339" s="24" t="n"/>
      <c r="AC339" s="24" t="n"/>
      <c r="AD339" s="24" t="n"/>
      <c r="AE339" s="24" t="n"/>
      <c r="AF339" s="24" t="n"/>
      <c r="AG339" s="24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</row>
    <row r="340" ht="12.75" customHeight="1" s="110">
      <c r="C340" s="24">
        <f>IF(H12=1,1,IF(H12=2,0,0))</f>
        <v/>
      </c>
      <c r="D340" s="24">
        <f>IF(J22=1,1,IF(J22=2,0,0))</f>
        <v/>
      </c>
      <c r="E340" s="24">
        <f>SUM(C340:D340)</f>
        <v/>
      </c>
      <c r="F340" s="24">
        <f>IF(E340&lt;2,0,1)</f>
        <v/>
      </c>
      <c r="G340" s="24" t="n"/>
      <c r="H340" s="24" t="n"/>
      <c r="I340" s="24" t="n"/>
      <c r="J340" s="24" t="n"/>
      <c r="K340" s="25">
        <f>SUM(K331:K339)</f>
        <v/>
      </c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  <c r="AC340" s="24" t="n"/>
      <c r="AD340" s="24" t="n"/>
      <c r="AE340" s="24" t="n"/>
      <c r="AF340" s="24" t="n"/>
      <c r="AG340" s="24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</row>
    <row r="341" ht="12.75" customHeight="1" s="110">
      <c r="C341" s="24">
        <f>IF(J36=1,1,IF(J36=2,0,0))</f>
        <v/>
      </c>
      <c r="D341" s="24">
        <f>IF(N58=1,1,IF(N58=2,0,0))</f>
        <v/>
      </c>
      <c r="E341" s="24">
        <f>SUM(C341:D341)</f>
        <v/>
      </c>
      <c r="F341" s="24">
        <f>IF(E341&lt;2,0,1)</f>
        <v/>
      </c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  <c r="AC341" s="24" t="n"/>
      <c r="AD341" s="24" t="n"/>
      <c r="AE341" s="24" t="n"/>
      <c r="AF341" s="24" t="n"/>
      <c r="AG341" s="24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</row>
    <row r="342" ht="12.75" customHeight="1" s="110">
      <c r="C342" s="24">
        <f>IF(N66=1,1,IF(N66=2,0,0))</f>
        <v/>
      </c>
      <c r="D342" s="24">
        <f>IF(P14=1,1,IF(P14=2,0,0))</f>
        <v/>
      </c>
      <c r="E342" s="24">
        <f>SUM(C342:D342)</f>
        <v/>
      </c>
      <c r="F342" s="24">
        <f>IF(E342&lt;2,0,1)</f>
        <v/>
      </c>
      <c r="G342" s="24" t="n"/>
      <c r="H342" s="25" t="inlineStr">
        <is>
          <t>TRIN=</t>
        </is>
      </c>
      <c r="I342" s="25">
        <f>(F345-K340)+9</f>
        <v/>
      </c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  <c r="AC342" s="24" t="n"/>
      <c r="AD342" s="24" t="n"/>
      <c r="AE342" s="24" t="n"/>
      <c r="AF342" s="24" t="n"/>
      <c r="AG342" s="24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</row>
    <row r="343" ht="12.75" customHeight="1" s="110">
      <c r="C343" s="24">
        <f>IF(P24=1,1,IF(P24=2,0,0))</f>
        <v/>
      </c>
      <c r="D343" s="24">
        <f>IF(T61=1,1,IF(T61=2,0,0))</f>
        <v/>
      </c>
      <c r="E343" s="24">
        <f>SUM(C343:D343)</f>
        <v/>
      </c>
      <c r="F343" s="24">
        <f>IF(E343&lt;2,0,1)</f>
        <v/>
      </c>
      <c r="G343" s="24" t="n"/>
      <c r="H343" s="25" t="inlineStr">
        <is>
          <t>Puntuaciones Típicas</t>
        </is>
      </c>
      <c r="I343" s="25" t="n"/>
      <c r="J343" s="25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  <c r="AC343" s="24" t="n"/>
      <c r="AD343" s="24" t="n"/>
      <c r="AE343" s="24" t="n"/>
      <c r="AF343" s="24" t="n"/>
      <c r="AG343" s="24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</row>
    <row r="344" ht="12.75" customHeight="1" s="110">
      <c r="C344" s="24">
        <f>IF(V23=1,1,IF(V23=2,0,0))</f>
        <v/>
      </c>
      <c r="D344" s="24">
        <f>IF(V27=1,1,IF(V27=2,0,0))</f>
        <v/>
      </c>
      <c r="E344" s="24">
        <f>SUM(C344:D344)</f>
        <v/>
      </c>
      <c r="F344" s="24">
        <f>IF(E344&lt;2,0,1)</f>
        <v/>
      </c>
      <c r="G344" s="24" t="n"/>
      <c r="H344" s="24">
        <f>IF(I342=0,"114F",IF(I342=1,"107F",IF(I342=2,"99F",IF(I342=3,"92F",IF(I342=4,"85F",IF(I342=5,"78F",IF(I342=6,"71F",0)))))))</f>
        <v/>
      </c>
      <c r="I344" s="24">
        <f>IF(I342=7,"64F",IF(I342=8,"57F",IF(I342=9,50,IF(I342=10,"57V",IF(I342=11,"65V",IF(I342=12,"72V",IF(I342=13,"79V",0)))))))</f>
        <v/>
      </c>
      <c r="J344" s="24">
        <f>IF(I342=14,"86V",IF(I342=15,"93V",IF(I342=16,"100V",IF(I342=17,"107V",IF(I342=18,"114V",IF(I342&gt;=19,"120V",0))))))</f>
        <v/>
      </c>
      <c r="K344" s="24" t="n"/>
      <c r="L344" s="25">
        <f>IF(H344&lt;&gt;0,H344,IF(I344&lt;&gt;0,I344,IF(J344&lt;&gt;0,J344,0)))</f>
        <v/>
      </c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  <c r="AC344" s="24" t="n"/>
      <c r="AD344" s="24" t="n"/>
      <c r="AE344" s="24" t="n"/>
      <c r="AF344" s="24" t="n"/>
      <c r="AG344" s="24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</row>
    <row r="345" ht="12.75" customHeight="1" s="110">
      <c r="C345" s="24" t="n"/>
      <c r="D345" s="24" t="n"/>
      <c r="E345" s="24" t="n"/>
      <c r="F345" s="25">
        <f>SUM(F331:F344)</f>
        <v/>
      </c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  <c r="AC345" s="24" t="n"/>
      <c r="AD345" s="24" t="n"/>
      <c r="AE345" s="24" t="n"/>
      <c r="AF345" s="24" t="n"/>
      <c r="AG345" s="24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</row>
    <row r="346" ht="12.75" customHeight="1" s="110"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  <c r="AC346" s="24" t="n"/>
      <c r="AD346" s="24" t="n"/>
      <c r="AE346" s="24" t="n"/>
      <c r="AF346" s="24" t="n"/>
      <c r="AG346" s="24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</row>
    <row r="347" ht="12.75" customHeight="1" s="110">
      <c r="C347" s="25" t="inlineStr">
        <is>
          <t>Escala Fb</t>
        </is>
      </c>
      <c r="D347" s="25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  <c r="AC347" s="24" t="n"/>
      <c r="AD347" s="24" t="n"/>
      <c r="AE347" s="24" t="n"/>
      <c r="AF347" s="24" t="n"/>
      <c r="AG347" s="24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</row>
    <row r="348" ht="12.75" customHeight="1" s="110">
      <c r="C348" s="24">
        <f>IF(L48=1,1,IF(L48=2,0,0))</f>
        <v/>
      </c>
      <c r="D348" s="24">
        <f>IF(L58=1,1,IF(L58=2,0,0))</f>
        <v/>
      </c>
      <c r="E348" s="24">
        <f>IF(N10=1,1,IF(N10=2,0,0))</f>
        <v/>
      </c>
      <c r="F348" s="24">
        <f>IF(N18=1,1,IF(N18=2,0,0))</f>
        <v/>
      </c>
      <c r="G348" s="24">
        <f>IF(N24=1,1,IF(N24=2,0,0))</f>
        <v/>
      </c>
      <c r="H348" s="24">
        <f>IF(N26=1,1,IF(N26=2,0,0))</f>
        <v/>
      </c>
      <c r="I348" s="24">
        <f>IF(N29=1,1,IF(N29=2,0,0))</f>
        <v/>
      </c>
      <c r="J348" s="24">
        <f>IF(N30=1,1,IF(N30=2,0,0))</f>
        <v/>
      </c>
      <c r="K348" s="24">
        <f>IF(N36=1,1,IF(N36=2,0,0))</f>
        <v/>
      </c>
      <c r="L348" s="24">
        <f>IF(N39=1,1,IF(N39=2,0,0))</f>
        <v/>
      </c>
      <c r="M348" s="24">
        <f>IF(N40=1,1,IF(N40=2,0,0))</f>
        <v/>
      </c>
      <c r="N348" s="24">
        <f>IF(N41=1,1,IF(N41=2,0,0))</f>
        <v/>
      </c>
      <c r="O348" s="24">
        <f>IF(P34=1,1,IF(P34=2,0,0))</f>
        <v/>
      </c>
      <c r="P348" s="24">
        <f>IF(P42=1,1,IF(P42=2,0,0))</f>
        <v/>
      </c>
      <c r="Q348" s="24">
        <f>IF(P54=1,1,IF(P54=2,0,0))</f>
        <v/>
      </c>
      <c r="R348" s="24">
        <f>IF(R18=1,1,IF(R18=2,0,0))</f>
        <v/>
      </c>
      <c r="S348" s="24">
        <f>IF(R37=1,1,IF(R37=2,0,0))</f>
        <v/>
      </c>
      <c r="T348" s="24">
        <f>IF(R41=1,1,IF(R41=2,0,0))</f>
        <v/>
      </c>
      <c r="U348" s="24">
        <f>IF(R50=1,1,IF(R50=2,0,0))</f>
        <v/>
      </c>
      <c r="V348" s="24" t="n"/>
      <c r="W348" s="25">
        <f>SUM(C348:V348)</f>
        <v/>
      </c>
      <c r="X348" s="25" t="n"/>
      <c r="Y348" s="24" t="n"/>
      <c r="Z348" s="24" t="n"/>
      <c r="AA348" s="24" t="n"/>
      <c r="AB348" s="24" t="n"/>
      <c r="AC348" s="24" t="n"/>
      <c r="AD348" s="24" t="n"/>
      <c r="AE348" s="24" t="n"/>
      <c r="AF348" s="24" t="n"/>
      <c r="AG348" s="24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</row>
    <row r="349" ht="12.75" customHeight="1" s="110">
      <c r="C349" s="24">
        <f>IF(R55=1,1,IF(R55=2,0,0))</f>
        <v/>
      </c>
      <c r="D349" s="24">
        <f>IF(R63=1,1,IF(R63=2,0,0))</f>
        <v/>
      </c>
      <c r="E349" s="24">
        <f>IF(R65=1,1,IF(R65=2,0,0))</f>
        <v/>
      </c>
      <c r="F349" s="24">
        <f>IF(T11=1,1,IF(T11=2,0,0))</f>
        <v/>
      </c>
      <c r="G349" s="24">
        <f>IF(T16=1,1,IF(T16=2,0,0))</f>
        <v/>
      </c>
      <c r="H349" s="24">
        <f>IF(T33=1,1,IF(T33=2,0,0))</f>
        <v/>
      </c>
      <c r="I349" s="24">
        <f>IF(T43=1,1,IF(T43=2,0,0))</f>
        <v/>
      </c>
      <c r="J349" s="24">
        <f>IF(T44=1,1,IF(T44=2,0,0))</f>
        <v/>
      </c>
      <c r="K349" s="24">
        <f>IF(T47=1,1,IF(T47=2,0,0))</f>
        <v/>
      </c>
      <c r="L349" s="24">
        <f>IF(T51=1,0,IF(T51=2,0,0))</f>
        <v/>
      </c>
      <c r="M349" s="24">
        <f>IF(T52=1,1,IF(T52=2,0,0))</f>
        <v/>
      </c>
      <c r="N349" s="24">
        <f>IF(T53=1,1,IF(T53=2,0,0))</f>
        <v/>
      </c>
      <c r="O349" s="24">
        <f>IF(T55=1,1,IF(T55=2,0,0))</f>
        <v/>
      </c>
      <c r="P349" s="24">
        <f>IF(T57=1,1,IF(T57=2,0,0))</f>
        <v/>
      </c>
      <c r="Q349" s="24">
        <f>IF(T66=1,1,IF(T66=2,0,0))</f>
        <v/>
      </c>
      <c r="R349" s="24">
        <f>IF(T67=1,1,IF(T67=2,0,0))</f>
        <v/>
      </c>
      <c r="S349" s="24">
        <f>IF(V11=1,1,IF(V11=2,0,0))</f>
        <v/>
      </c>
      <c r="T349" s="24">
        <f>IF(V22=1,1,IF(V22=2,0,0))</f>
        <v/>
      </c>
      <c r="U349" s="24" t="n"/>
      <c r="V349" s="24" t="n"/>
      <c r="W349" s="25">
        <f>SUM(C349:V349)</f>
        <v/>
      </c>
      <c r="X349" s="25" t="n"/>
      <c r="Y349" s="24" t="n"/>
      <c r="Z349" s="24" t="n"/>
      <c r="AA349" s="24" t="n"/>
      <c r="AB349" s="24" t="n"/>
      <c r="AC349" s="24" t="n"/>
      <c r="AD349" s="24" t="n"/>
      <c r="AE349" s="24" t="n"/>
      <c r="AF349" s="24" t="n"/>
      <c r="AG349" s="24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</row>
    <row r="350" ht="12.75" customHeight="1" s="110">
      <c r="C350" s="24">
        <f>IF(P30=1,0,IF(P30=2,1,0))</f>
        <v/>
      </c>
      <c r="D350" s="24">
        <f>IF(P51=1,0,IF(P51=2,1,0))</f>
        <v/>
      </c>
      <c r="E350" s="24">
        <f>IF(T28=1,0,IF(T28=2,1,0))</f>
        <v/>
      </c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5">
        <f>SUM(C350:U350)</f>
        <v/>
      </c>
      <c r="X350" s="25">
        <f>SUM(W348:W350)</f>
        <v/>
      </c>
      <c r="Y350" s="24" t="n"/>
      <c r="Z350" s="24" t="n"/>
      <c r="AA350" s="24" t="n"/>
      <c r="AB350" s="24" t="n"/>
      <c r="AC350" s="24" t="n"/>
      <c r="AD350" s="24" t="n"/>
      <c r="AE350" s="24" t="n"/>
      <c r="AF350" s="24" t="n"/>
      <c r="AG350" s="24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</row>
    <row r="351" ht="12.75" customHeight="1" s="110">
      <c r="C351" s="25" t="inlineStr">
        <is>
          <t>Puntuaciones Típicas</t>
        </is>
      </c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  <c r="AC351" s="24" t="n"/>
      <c r="AD351" s="24" t="n"/>
      <c r="AE351" s="24" t="n"/>
      <c r="AF351" s="24" t="n"/>
      <c r="AG351" s="24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</row>
    <row r="352" ht="12.75" customHeight="1" s="110">
      <c r="C352" s="24">
        <f>IF(X350=0,42,IF(X350=1,46,IF(X350=2,51,IF(X350=3,55,IF(X350=4,59,IF(X350=5,63,IF(X350=6,67,0)))))))</f>
        <v/>
      </c>
      <c r="D352" s="24">
        <f>IF(X350=7,71,IF(X350=8,75,IF(X350=9,79,IF(X350=10,83,IF(X350=11,87,IF(X350=12,92,IF(X350=13,96,0)))))))</f>
        <v/>
      </c>
      <c r="E352" s="24">
        <f>IF(X350=14,100,IF(X350=15,104,IF(X350=16,108,IF(X350=17,112,IF(X350=18,116,IF(X350&gt;=19,120,0))))))</f>
        <v/>
      </c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5">
        <f>SUM(C352:M352)</f>
        <v/>
      </c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  <c r="AC352" s="24" t="n"/>
      <c r="AD352" s="24" t="n"/>
      <c r="AE352" s="24" t="n"/>
      <c r="AF352" s="24" t="n"/>
      <c r="AG352" s="24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</row>
    <row r="353" ht="12.75" customHeight="1" s="110"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  <c r="AA353" s="24" t="n"/>
      <c r="AB353" s="24" t="n"/>
      <c r="AC353" s="24" t="n"/>
      <c r="AD353" s="24" t="n"/>
      <c r="AE353" s="24" t="n"/>
      <c r="AF353" s="24" t="n"/>
      <c r="AG353" s="24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</row>
    <row r="354" ht="12.75" customHeight="1" s="110">
      <c r="C354" s="25" t="inlineStr">
        <is>
          <t>Escala  F(p)</t>
        </is>
      </c>
      <c r="D354" s="25" t="n"/>
      <c r="E354" s="25" t="inlineStr">
        <is>
          <t>(Infrecuencia - Psicopatología)</t>
        </is>
      </c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  <c r="AC354" s="24" t="n"/>
      <c r="AD354" s="24" t="n"/>
      <c r="AE354" s="24" t="n"/>
      <c r="AF354" s="24" t="n"/>
      <c r="AG354" s="24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</row>
    <row r="355" ht="12.75" customHeight="1" s="110">
      <c r="C355" s="24">
        <f>IF(F13=1,1,IF(F13=2,0,0))</f>
        <v/>
      </c>
      <c r="D355" s="24">
        <f>IF(F61=1,1,IF(F61=2,0,0))</f>
        <v/>
      </c>
      <c r="E355" s="24">
        <f>IF(H49=1,1,IF(H49=2,0,0))</f>
        <v/>
      </c>
      <c r="F355" s="24">
        <f>IF(J20=1,1,IF(J20=2,0,0))</f>
        <v/>
      </c>
      <c r="G355" s="24">
        <f>IF(J43=1,1,IF(J43=2,0,0))</f>
        <v/>
      </c>
      <c r="H355" s="24">
        <f>IF(J55=1,1,IF(J55=2,0,0))</f>
        <v/>
      </c>
      <c r="I355" s="24">
        <f>IF(L19=1,1,IF(L19=2,0,0))</f>
        <v/>
      </c>
      <c r="J355" s="24">
        <f>IF(L37=1,1,IF(L37=2,0,0))</f>
        <v/>
      </c>
      <c r="K355" s="24">
        <f>IF(L49=1,1,IF(L49=2,0,0))</f>
        <v/>
      </c>
      <c r="L355" s="24">
        <f>IF(L58=1,1,IF(L58=2,0,0))</f>
        <v/>
      </c>
      <c r="M355" s="24">
        <f>IF(L61=1,1,IF(L61=2,0,0))</f>
        <v/>
      </c>
      <c r="N355" s="24">
        <f>IF(N29=1,1,IF(N29=2,0,0))</f>
        <v/>
      </c>
      <c r="O355" s="24">
        <f>IF(N30=1,1,IF(N30=2,0,0))</f>
        <v/>
      </c>
      <c r="P355" s="24">
        <f>IF(N43=1,1,IF(N43=2,0,0))</f>
        <v/>
      </c>
      <c r="Q355" s="24">
        <f>IF(P18=1,1,IF(P18=2,0,0))</f>
        <v/>
      </c>
      <c r="R355" s="24">
        <f>IF(P34=1,1,IF(P34=2,0,0))</f>
        <v/>
      </c>
      <c r="S355" s="24">
        <f>IF(R65=1,1,IF(R65=2,0,0))</f>
        <v/>
      </c>
      <c r="T355" s="24">
        <f>IF(V22=1,1,IF(V22=2,0,0))</f>
        <v/>
      </c>
      <c r="U355" s="24" t="n"/>
      <c r="V355" s="24" t="n"/>
      <c r="W355" s="25">
        <f>SUM(C355:V355)</f>
        <v/>
      </c>
      <c r="X355" s="25" t="n"/>
      <c r="Y355" s="24" t="n"/>
      <c r="Z355" s="24" t="n"/>
      <c r="AA355" s="24" t="n"/>
      <c r="AB355" s="24" t="n"/>
      <c r="AC355" s="24" t="n"/>
      <c r="AD355" s="24" t="n"/>
      <c r="AE355" s="24" t="n"/>
      <c r="AF355" s="24" t="n"/>
      <c r="AG355" s="24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</row>
    <row r="356" ht="12.75" customHeight="1" s="110">
      <c r="C356" s="24">
        <f>IF(D58=1,0,IF(D58=2,1,0))</f>
        <v/>
      </c>
      <c r="D356" s="24">
        <f>IF(F24=1,0,IF(F24=2,1,0))</f>
        <v/>
      </c>
      <c r="E356" s="24">
        <f>IF(F37=1,0,IF(F37=2,1,0))</f>
        <v/>
      </c>
      <c r="F356" s="24">
        <f>IF(F40=1,0,IF(F40=2,1,0))</f>
        <v/>
      </c>
      <c r="G356" s="24">
        <f>IF(F49=1,0,IF(F49=2,1,0))</f>
        <v/>
      </c>
      <c r="H356" s="24">
        <f>IF(H13=1,0,IF(H13=2,1,0))</f>
        <v/>
      </c>
      <c r="I356" s="24">
        <f>IF(J19=1,0,IF(J19=2,1,0))</f>
        <v/>
      </c>
      <c r="J356" s="24">
        <f>IF(L43=1,0,IF(L43=2,1,0))</f>
        <v/>
      </c>
      <c r="K356" s="24">
        <f>IF(T28=1,0,IF(T28=2,1,0))</f>
        <v/>
      </c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5">
        <f>SUM(C356:V356)</f>
        <v/>
      </c>
      <c r="X356" s="25">
        <f>SUM(W355:W356)</f>
        <v/>
      </c>
      <c r="Y356" s="24" t="n"/>
      <c r="Z356" s="24" t="n"/>
      <c r="AA356" s="24" t="n"/>
      <c r="AB356" s="24" t="n"/>
      <c r="AC356" s="24" t="n"/>
      <c r="AD356" s="24" t="n"/>
      <c r="AE356" s="24" t="n"/>
      <c r="AF356" s="24" t="n"/>
      <c r="AG356" s="24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</row>
    <row r="357" ht="12.75" customHeight="1" s="110">
      <c r="C357" s="25" t="inlineStr">
        <is>
          <t>Puntuaciones Típicas</t>
        </is>
      </c>
      <c r="D357" s="25" t="n"/>
      <c r="E357" s="25" t="n"/>
      <c r="F357" s="25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  <c r="AC357" s="24" t="n"/>
      <c r="AD357" s="24" t="n"/>
      <c r="AE357" s="24" t="n"/>
      <c r="AF357" s="24" t="n"/>
      <c r="AG357" s="24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</row>
    <row r="358" ht="12.75" customHeight="1" s="110">
      <c r="C358" s="24">
        <f>IF(X356=0,42,IF(X356=1,49,IF(X356=2,56,IF(X356=3,63,IF(X356=4,70,IF(X356=5,78,IF(X356=6,85,0)))))))</f>
        <v/>
      </c>
      <c r="D358" s="24">
        <f>IF(X356=7,92,IF(X356=8,99,IF(X356=9,107,IF(X356=10,114,IF(X356&gt;=11,120,0)))))</f>
        <v/>
      </c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5">
        <f>SUM(C358:O358)</f>
        <v/>
      </c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  <c r="AC358" s="24" t="n"/>
      <c r="AD358" s="24" t="n"/>
      <c r="AE358" s="24" t="n"/>
      <c r="AF358" s="24" t="n"/>
      <c r="AG358" s="24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</row>
    <row r="359" ht="12.75" customHeight="1" s="110"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  <c r="AC359" s="24" t="n"/>
      <c r="AD359" s="24" t="n"/>
      <c r="AE359" s="24" t="n"/>
      <c r="AF359" s="24" t="n"/>
      <c r="AG359" s="24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</row>
    <row r="360" ht="12.75" customHeight="1" s="110">
      <c r="C360" s="25" t="inlineStr">
        <is>
          <t>Escala S (Autoconcepto superlativo)</t>
        </is>
      </c>
      <c r="D360" s="25" t="n"/>
      <c r="E360" s="25" t="n"/>
      <c r="F360" s="25" t="n"/>
      <c r="G360" s="25" t="n"/>
      <c r="H360" s="25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  <c r="AC360" s="24" t="n"/>
      <c r="AD360" s="24" t="n"/>
      <c r="AE360" s="24" t="n"/>
      <c r="AF360" s="24" t="n"/>
      <c r="AG360" s="24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</row>
    <row r="361" ht="12.75" customHeight="1" s="110">
      <c r="C361" s="24">
        <f>IF(H8=1,1,IF(H8=2,0,0))</f>
        <v/>
      </c>
      <c r="D361" s="24">
        <f>IF(H35=1,1,IF(H35=2,0,0))</f>
        <v/>
      </c>
      <c r="E361" s="24">
        <f>IF(J11=1,1,IF(J11=2,0,0))</f>
        <v/>
      </c>
      <c r="F361" s="24">
        <f>IF(J21=1,1,IF(J21=2,0,0))</f>
        <v/>
      </c>
      <c r="G361" s="24">
        <f>IF(T61=1,1,IF(T61=2,0,0))</f>
        <v/>
      </c>
      <c r="H361" s="24">
        <f>IF(V27=1,1,IF(V27=2,0,0))</f>
        <v/>
      </c>
      <c r="I361" s="24" t="n"/>
      <c r="J361" s="24">
        <f>IF(D22=1,0,IF(D22=2,1,0))</f>
        <v/>
      </c>
      <c r="K361" s="24">
        <f>IF(D57=1,0,IF(D57=2,1,0))</f>
        <v/>
      </c>
      <c r="L361" s="24">
        <f>IF(D65=1,0,IF(D65=2,1,0))</f>
        <v/>
      </c>
      <c r="M361" s="24">
        <f>IF(F23=1,0,IF(F23=2,1,0))</f>
        <v/>
      </c>
      <c r="N361" s="24">
        <f>IF(F28=1,0,IF(F28=2,1,0))</f>
        <v/>
      </c>
      <c r="O361" s="24">
        <f>IF(F34=1,0,IF(F34=2,1,0))</f>
        <v/>
      </c>
      <c r="P361" s="24">
        <f>IF(F36=1,0,IF(F36=2,1,0))</f>
        <v/>
      </c>
      <c r="Q361" s="24">
        <f>IF(F51=1,0,IF(F51=2,1,0))</f>
        <v/>
      </c>
      <c r="R361" s="24">
        <f>IF(F57=1,0,IF(F57=2,1,0))</f>
        <v/>
      </c>
      <c r="S361" s="24">
        <f>IF(F67=1,0,IF(F67=2,1,0))</f>
        <v/>
      </c>
      <c r="T361" s="24">
        <f>IF(H10=1,0,IF(H10=2,1,0))</f>
        <v/>
      </c>
      <c r="U361" s="24">
        <f>IF(H41=1,0,IF(H41=2,1,0))</f>
        <v/>
      </c>
      <c r="V361" s="24" t="n"/>
      <c r="W361" s="25">
        <f>SUM(C361:V361)</f>
        <v/>
      </c>
      <c r="X361" s="25" t="n"/>
      <c r="Y361" s="24" t="n"/>
      <c r="Z361" s="24" t="n"/>
      <c r="AA361" s="24" t="n"/>
      <c r="AB361" s="24" t="n"/>
      <c r="AC361" s="24" t="n"/>
      <c r="AD361" s="24" t="n"/>
      <c r="AE361" s="24" t="n"/>
      <c r="AF361" s="24" t="n"/>
      <c r="AG361" s="24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</row>
    <row r="362" ht="12.75" customHeight="1" s="110">
      <c r="C362" s="24">
        <f>IF(J23=1,0,IF(J23=2,1,0))</f>
        <v/>
      </c>
      <c r="D362" s="24">
        <f>IF(J32=1,0,IF(J32=2,1,0))</f>
        <v/>
      </c>
      <c r="E362" s="24">
        <f>IF(J40=1,0,IF(J40=2,1,0))</f>
        <v/>
      </c>
      <c r="F362" s="24">
        <f>IF(J52=1,0,IF(J52=2,1,0))</f>
        <v/>
      </c>
      <c r="G362" s="24">
        <f>IF(L31=1,0,IF(L31=2,1,0))</f>
        <v/>
      </c>
      <c r="H362" s="24">
        <f>IF(L46=1,0,IF(L46=2,1,0))</f>
        <v/>
      </c>
      <c r="I362" s="24">
        <f>IF(L51=1,0,IF(L51=2,1,0))</f>
        <v/>
      </c>
      <c r="J362" s="24">
        <f>IF(L57=1,0,IF(L57=2,1,0))</f>
        <v/>
      </c>
      <c r="K362" s="24">
        <f>IF(N9=1,0,IF(N9=2,1,0))</f>
        <v/>
      </c>
      <c r="L362" s="24">
        <f>IF(N44=1,0,IF(N44=2,1,0))</f>
        <v/>
      </c>
      <c r="M362" s="24">
        <f>IF(N48=1,0,IF(N48=2,1,0))</f>
        <v/>
      </c>
      <c r="N362" s="24">
        <f>IF(N53=1,0,IF(N53=2,1,0))</f>
        <v/>
      </c>
      <c r="O362" s="24">
        <f>IF(N53=1,0,IF(N53=2,1,0))</f>
        <v/>
      </c>
      <c r="P362" s="24">
        <f>IF(N59=1,0,IF(N59=2,1,0))</f>
        <v/>
      </c>
      <c r="Q362" s="24">
        <f>IF(P20=1,0,IF(P20=2,1,0))</f>
        <v/>
      </c>
      <c r="R362" s="24">
        <f>IF(P21=1,0,IF(P21=2,1,0))</f>
        <v/>
      </c>
      <c r="S362" s="24">
        <f>IF(P50=1,0,IF(P50=2,1,0))</f>
        <v/>
      </c>
      <c r="T362" s="24">
        <f>IF(P67=1,0,IF(P67=2,1,0))</f>
        <v/>
      </c>
      <c r="U362" s="24">
        <f>IF(R10=1,0,IF(R10=2,1,0))</f>
        <v/>
      </c>
      <c r="V362" s="24" t="n"/>
      <c r="W362" s="25">
        <f>SUM(C362:V362)</f>
        <v/>
      </c>
      <c r="X362" s="25" t="n"/>
      <c r="Y362" s="24" t="n"/>
      <c r="Z362" s="24" t="n"/>
      <c r="AA362" s="24" t="n"/>
      <c r="AB362" s="24" t="n"/>
      <c r="AC362" s="24" t="n"/>
      <c r="AD362" s="24" t="n"/>
      <c r="AE362" s="24" t="n"/>
      <c r="AF362" s="24" t="n"/>
      <c r="AG362" s="24" t="n"/>
    </row>
    <row r="363" ht="12.75" customHeight="1" s="110">
      <c r="C363" s="24">
        <f>IF(R15=1,0,IF(R15=2,1,0))</f>
        <v/>
      </c>
      <c r="D363" s="24">
        <f>IF(R17=1,0,IF(R17=2,1,0))</f>
        <v/>
      </c>
      <c r="E363" s="24">
        <f>IF(R20=1,0,IF(R20=2,1,0))</f>
        <v/>
      </c>
      <c r="F363" s="24">
        <f>IF(R29=1,0,IF(R29=2,1,0))</f>
        <v/>
      </c>
      <c r="G363" s="24">
        <f>IF(R32=1,0,IF(R32=2,1,0))</f>
        <v/>
      </c>
      <c r="H363" s="24">
        <f>IF(R36=1,0,IF(R36=2,1,0))</f>
        <v/>
      </c>
      <c r="I363" s="24">
        <f>IF(R48=1,0,IF(R48=2,1,0))</f>
        <v/>
      </c>
      <c r="J363" s="24">
        <f>IF(T13=1,0,IF(T13=2,1,0))</f>
        <v/>
      </c>
      <c r="K363" s="24">
        <f>IF(T14=1,0,IF(T14=2,1,0))</f>
        <v/>
      </c>
      <c r="L363" s="24">
        <f>IF(T50=1,0,IF(T50=2,1,0))</f>
        <v/>
      </c>
      <c r="M363" s="24">
        <f>IF(T65=1,0,IF(T65=2,1,0))</f>
        <v/>
      </c>
      <c r="N363" s="24">
        <f>IF(V9=1,0,IF(V9=2,1,0))</f>
        <v/>
      </c>
      <c r="O363" s="24">
        <f>IF(V12=1,0,IF(V12=2,1,0))</f>
        <v/>
      </c>
      <c r="P363" s="24">
        <f>IF(V14=1,0,IF(V14=2,1,0))</f>
        <v/>
      </c>
      <c r="Q363" s="24" t="n"/>
      <c r="R363" s="24" t="n"/>
      <c r="S363" s="24" t="n"/>
      <c r="T363" s="24" t="n"/>
      <c r="U363" s="24" t="n"/>
      <c r="V363" s="24" t="n"/>
      <c r="W363" s="25">
        <f>SUM(C363:U363)</f>
        <v/>
      </c>
      <c r="X363" s="25">
        <f>SUM(W361:W363)</f>
        <v/>
      </c>
      <c r="Y363" s="24" t="n"/>
      <c r="Z363" s="24" t="n"/>
      <c r="AA363" s="24" t="n"/>
      <c r="AB363" s="24" t="n"/>
      <c r="AC363" s="24" t="n"/>
      <c r="AD363" s="24" t="n"/>
      <c r="AE363" s="24" t="n"/>
      <c r="AF363" s="24" t="n"/>
      <c r="AG363" s="24" t="n"/>
    </row>
    <row r="364" ht="12.75" customHeight="1" s="110">
      <c r="C364" s="25" t="inlineStr">
        <is>
          <t>Puntuaciones Típicas</t>
        </is>
      </c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  <c r="AA364" s="24" t="n"/>
      <c r="AB364" s="24" t="n"/>
      <c r="AC364" s="24" t="n"/>
      <c r="AD364" s="24" t="n"/>
      <c r="AE364" s="24" t="n"/>
      <c r="AF364" s="24" t="n"/>
      <c r="AG364" s="24" t="n"/>
    </row>
    <row r="365" ht="12.75" customHeight="1" s="110">
      <c r="C365" s="24">
        <f>IF(X363&lt;=8,30,IF(X363=9,32,IF(X363=10,33,IF(X363=11,34,IF(X363=12,35,IF(X363=13,36,IF(X363=14,37,0)))))))</f>
        <v/>
      </c>
      <c r="D365" s="24">
        <f>IF(X363=15,38,IF(X363=16,40,IF(X363=17,41,IF(X363=18,42,IF(X363=19,43,IF(X363=20,44,IF(X363=21,45,0)))))))</f>
        <v/>
      </c>
      <c r="E365" s="24">
        <f>IF(X363=22,47,IF(X363=23,48,IF(X363=24,49,IF(X363=25,50,IF(X363=26,51,IF(X363=27,52,IF(X363=28,53,0)))))))</f>
        <v/>
      </c>
      <c r="F365" s="24">
        <f>IF(X363=29,55,IF(X363=30,56,IF(X363=31,57,IF(X363=32,58,IF(X363=33,59,IF(X363=34,60,IF(X363=35,61,0)))))))</f>
        <v/>
      </c>
      <c r="G365" s="24">
        <f>IF(X363=36,63,IF(X363=37,64,IF(X363=38,65,IF(X363=39,66,IF(X363=40,67,IF(X363=41,68,IF(X363=42,70,0)))))))</f>
        <v/>
      </c>
      <c r="H365" s="24">
        <f>IF(X363=43,71,IF(X363=44,72,IF(X363=45,73,IF(X363=46,74,IF(X363=47,75,IF(X363=48,76,IF(X363=49,78,IF(X363&gt;=50,79,0))))))))</f>
        <v/>
      </c>
      <c r="I365" s="24" t="n"/>
      <c r="J365" s="24" t="n"/>
      <c r="K365" s="24" t="n"/>
      <c r="L365" s="24" t="n"/>
      <c r="M365" s="24" t="n"/>
      <c r="N365" s="24" t="n"/>
      <c r="O365" s="24" t="n"/>
      <c r="P365" s="25">
        <f>SUM(C365:O365)</f>
        <v/>
      </c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  <c r="AC365" s="24" t="n"/>
      <c r="AD365" s="24" t="n"/>
      <c r="AE365" s="24" t="n"/>
      <c r="AF365" s="24" t="n"/>
      <c r="AG365" s="24" t="n"/>
    </row>
    <row r="366" ht="12.75" customHeight="1" s="110"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  <c r="AC366" s="24" t="n"/>
      <c r="AD366" s="24" t="n"/>
      <c r="AE366" s="24" t="n"/>
      <c r="AF366" s="24" t="n"/>
      <c r="AG366" s="24" t="n"/>
    </row>
    <row r="367" ht="12.75" customHeight="1" s="110">
      <c r="C367" s="25" t="inlineStr">
        <is>
          <t>Subescalas de Harris-Lingoes</t>
        </is>
      </c>
      <c r="D367" s="25" t="n"/>
      <c r="E367" s="25" t="n"/>
      <c r="F367" s="25" t="n"/>
      <c r="G367" s="25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  <c r="AC367" s="24" t="n"/>
      <c r="AD367" s="24" t="n"/>
      <c r="AE367" s="24" t="n"/>
      <c r="AF367" s="24" t="n"/>
      <c r="AG367" s="24" t="n"/>
    </row>
    <row r="368" ht="12.75" customHeight="1" s="110"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  <c r="AA368" s="24" t="n"/>
      <c r="AB368" s="24" t="n"/>
      <c r="AC368" s="24" t="n"/>
      <c r="AD368" s="24" t="n"/>
      <c r="AE368" s="24" t="n"/>
      <c r="AF368" s="24" t="n"/>
      <c r="AG368" s="24" t="n"/>
    </row>
    <row r="369" ht="12.75" customHeight="1" s="110">
      <c r="C369" s="25" t="inlineStr">
        <is>
          <t>Depresión</t>
        </is>
      </c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  <c r="AC369" s="24" t="n"/>
      <c r="AD369" s="24" t="n"/>
      <c r="AE369" s="24" t="n"/>
      <c r="AF369" s="24" t="n"/>
      <c r="AG369" s="24" t="n"/>
    </row>
    <row r="370" ht="12.75" customHeight="1" s="110">
      <c r="C370" s="25" t="inlineStr">
        <is>
          <t>D1.- Depresión subjetiva</t>
        </is>
      </c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  <c r="AA370" s="24" t="n"/>
      <c r="AB370" s="24" t="n"/>
      <c r="AC370" s="24" t="n"/>
      <c r="AD370" s="24" t="n"/>
      <c r="AE370" s="24" t="n"/>
      <c r="AF370" s="24" t="n"/>
      <c r="AG370" s="24" t="n"/>
    </row>
    <row r="371" ht="12.75" customHeight="1" s="110">
      <c r="C371" s="24">
        <f>IF(D38=1,1,IF(D38=2,0,0))</f>
        <v/>
      </c>
      <c r="D371" s="24">
        <f>IF(D45=1,1,IF(D45=2,0,0))</f>
        <v/>
      </c>
      <c r="E371" s="24">
        <f>IF(D46=1,1,IF(D46=2,0,0))</f>
        <v/>
      </c>
      <c r="F371" s="24">
        <f>IF(D53=1,1,IF(D53=2,0,0))</f>
        <v/>
      </c>
      <c r="G371" s="24">
        <f>IF(D63=1,1,IF(D63=2,0,0))</f>
        <v/>
      </c>
      <c r="H371" s="24">
        <f>IF(F20=1,1,IF(F20=2,0,0))</f>
        <v/>
      </c>
      <c r="I371" s="24">
        <f>IF(F39=1,1,IF(F39=2,0,0))</f>
        <v/>
      </c>
      <c r="J371" s="24">
        <f>IF(H14=1,1,IF(H14=2,0,0))</f>
        <v/>
      </c>
      <c r="K371" s="24">
        <f>IF(H17=1,1,IF(H17=2,0,0))</f>
        <v/>
      </c>
      <c r="L371" s="24">
        <f>IF(H33=1,1,IF(H33=2,0,0))</f>
        <v/>
      </c>
      <c r="M371" s="24">
        <f>IF(H34=1,1,IF(H34=2,0,0))</f>
        <v/>
      </c>
      <c r="N371" s="24">
        <f>IF(H57=1,1,IF(H57=2,0,0))</f>
        <v/>
      </c>
      <c r="O371" s="24">
        <f>IF(H62=1,1,IF(H62=2,0,0))</f>
        <v/>
      </c>
      <c r="P371" s="24">
        <f>IF(J42=1,1,IF(J42=2,0,0))</f>
        <v/>
      </c>
      <c r="Q371" s="24">
        <f>IF(J60=1,1,IF(J60=2,0,0))</f>
        <v/>
      </c>
      <c r="R371" s="24" t="n"/>
      <c r="S371" s="24">
        <f>IF(D9=1,0,IF(D9=2,1,0))</f>
        <v/>
      </c>
      <c r="T371" s="24">
        <f>IF(D16=1,0,IF(D16=2,1,0))</f>
        <v/>
      </c>
      <c r="U371" s="24">
        <f>IF(D50=1,0,IF(D50=2,1,0))</f>
        <v/>
      </c>
      <c r="V371" s="24">
        <f>IF(D56=1,0,IF(D56=2,1,0))</f>
        <v/>
      </c>
      <c r="W371" s="25">
        <f>SUM(C371:V371)</f>
        <v/>
      </c>
      <c r="X371" s="24" t="n"/>
      <c r="Y371" s="24" t="n"/>
      <c r="Z371" s="24" t="n"/>
      <c r="AA371" s="24" t="n"/>
      <c r="AB371" s="24" t="n"/>
      <c r="AC371" s="24" t="n"/>
      <c r="AD371" s="24" t="n"/>
      <c r="AE371" s="24" t="n"/>
      <c r="AF371" s="24" t="n"/>
      <c r="AG371" s="24" t="n"/>
    </row>
    <row r="372" ht="12.75" customHeight="1" s="110">
      <c r="C372" s="24">
        <f>IF(F22=1,0,IF(F22=2,1,0))</f>
        <v/>
      </c>
      <c r="D372" s="24">
        <f>IF(F42=1,0,IF(F42=2,1,0))</f>
        <v/>
      </c>
      <c r="E372" s="24">
        <f>IF(F56=1,0,IF(F56=2,1,0))</f>
        <v/>
      </c>
      <c r="F372" s="24">
        <f>IF(F65=1,0,IF(F65=2,1,0))</f>
        <v/>
      </c>
      <c r="G372" s="24">
        <f>IF(H27=1,0,IF(H27=2,1,0))</f>
        <v/>
      </c>
      <c r="H372" s="24">
        <f>IF(H35=1,0,IF(H35=2,1,0))</f>
        <v/>
      </c>
      <c r="I372" s="24">
        <f>IF(H65=1,0,IF(H65=2,1,0))</f>
        <v/>
      </c>
      <c r="J372" s="24">
        <f>IF(J15=1,0,IF(J15=2,1,0))</f>
        <v/>
      </c>
      <c r="K372" s="24">
        <f>IF(J16=1,0,IF(J16=2,1,0))</f>
        <v/>
      </c>
      <c r="L372" s="24">
        <f>IF(J50=1,0,IF(J50=2,1,0))</f>
        <v/>
      </c>
      <c r="M372" s="24">
        <f>IF(L27=1,0,IF(L27=2,1,0))</f>
        <v/>
      </c>
      <c r="N372" s="24">
        <f>IF(L34=1,0,IF(L34=2,1,0))</f>
        <v/>
      </c>
      <c r="O372" s="24">
        <f>IF(N37=1,0,IF(N37=2,1,0))</f>
        <v/>
      </c>
      <c r="P372" s="24" t="n"/>
      <c r="Q372" s="24" t="n"/>
      <c r="R372" s="24" t="n"/>
      <c r="S372" s="24" t="n"/>
      <c r="T372" s="24" t="n"/>
      <c r="U372" s="24" t="n"/>
      <c r="V372" s="24" t="n"/>
      <c r="W372" s="25">
        <f>SUM(C372:V372)</f>
        <v/>
      </c>
      <c r="X372" s="25">
        <f>SUM(W371:W372)</f>
        <v/>
      </c>
      <c r="Y372" s="24" t="n"/>
      <c r="Z372" s="24" t="n"/>
      <c r="AA372" s="24" t="n"/>
      <c r="AB372" s="24" t="n"/>
      <c r="AC372" s="24" t="n"/>
      <c r="AD372" s="24" t="n"/>
      <c r="AE372" s="24" t="n"/>
      <c r="AF372" s="24" t="n"/>
      <c r="AG372" s="24" t="n"/>
    </row>
    <row r="373" ht="12.75" customHeight="1" s="110">
      <c r="C373" s="25" t="inlineStr">
        <is>
          <t>Puntuaciones Típicas</t>
        </is>
      </c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  <c r="AC373" s="24" t="n"/>
      <c r="AD373" s="24" t="n"/>
      <c r="AE373" s="24" t="n"/>
      <c r="AF373" s="24" t="n"/>
      <c r="AG373" s="24" t="n"/>
    </row>
    <row r="374" ht="12.75" customHeight="1" s="110">
      <c r="C374" s="24">
        <f>IF(X372=0,32,IF(X372=1,35,IF(X372=2,37,IF(X372=3,40,IF(X372=4,42,IF(X372=5,45,IF(X372=6,48,IF(X372=7,50,0))))))))</f>
        <v/>
      </c>
      <c r="D374" s="24">
        <f>IF(X372=8,53,IF(X372=9,56,IF(X372=10,58,IF(X372=11,61,IF(X372=12,64,IF(X372=13,66,IF(X372=14,69,IF(X372=15,71,0))))))))</f>
        <v/>
      </c>
      <c r="E374" s="24">
        <f>IF(X372=16,74,IF(X372=17,77,IF(X372=18,79,IF(X372=19,82,IF(X372=20,85,IF(X372=21,87,IF(X372=22,90,IF(X372=23,93,0))))))))</f>
        <v/>
      </c>
      <c r="F374" s="24">
        <f>IF(X372=24,95,IF(X372=25,98,IF(X372=26,100,IF(X372=27,103,IF(X372=28,106,IF(X372=29,108,IF(X372=30,111,IF(X372=31,114,0))))))))</f>
        <v/>
      </c>
      <c r="G374" s="24">
        <f>IF(X372&gt;=32,116,0)</f>
        <v/>
      </c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5">
        <f>SUM(C374:O374)</f>
        <v/>
      </c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  <c r="AA374" s="24" t="n"/>
      <c r="AB374" s="24" t="n"/>
      <c r="AC374" s="24" t="n"/>
      <c r="AD374" s="24" t="n"/>
      <c r="AE374" s="24" t="n"/>
      <c r="AF374" s="24" t="n"/>
      <c r="AG374" s="24" t="n"/>
    </row>
    <row r="375" ht="12.75" customHeight="1" s="110">
      <c r="C375" s="25" t="inlineStr">
        <is>
          <t>D2.- Retardo Psicomotor</t>
        </is>
      </c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  <c r="AC375" s="24" t="n"/>
      <c r="AD375" s="24" t="n"/>
      <c r="AE375" s="24" t="n"/>
      <c r="AF375" s="24" t="n"/>
      <c r="AG375" s="24" t="n"/>
    </row>
    <row r="376" ht="12.75" customHeight="1" s="110">
      <c r="C376" s="24">
        <f>IF(D45=1,1,IF(D45=2,0,0))</f>
        <v/>
      </c>
      <c r="D376" s="24">
        <f>IF(D53=1,1,IF(D53=2,0,0))</f>
        <v/>
      </c>
      <c r="E376" s="24">
        <f>IF(H57=1,1,IF(H57=2,0,0))</f>
        <v/>
      </c>
      <c r="F376" s="24">
        <f>IF(J60=1,1,IF(J60=2,0,0))</f>
        <v/>
      </c>
      <c r="G376" s="24" t="n"/>
      <c r="H376" s="24">
        <f>IF(D16=1,0,IF(D16=2,1,0))</f>
        <v/>
      </c>
      <c r="I376" s="24">
        <f>IF(D36=1,0,IF(D36=2,1,0))</f>
        <v/>
      </c>
      <c r="J376" s="24">
        <f>IF(D44=1,0,IF(D44=2,1,0))</f>
        <v/>
      </c>
      <c r="K376" s="24">
        <f>IF(D56=1,0,IF(D56=2,1,0))</f>
        <v/>
      </c>
      <c r="L376" s="24">
        <f>IF(D62=1,0,IF(D62=2,1,0))</f>
        <v/>
      </c>
      <c r="M376" s="24">
        <f>IF(F23=1,0,IF(F23=2,1,0))</f>
        <v/>
      </c>
      <c r="N376" s="24">
        <f>IF(H21=1,0,IF(H21=2,1,0))</f>
        <v/>
      </c>
      <c r="O376" s="24">
        <f>IF(J15=1,0,IF(J15=2,1,0))</f>
        <v/>
      </c>
      <c r="P376" s="24">
        <f>IF(J16=1,0,IF(J16=2,1,0))</f>
        <v/>
      </c>
      <c r="Q376" s="24">
        <f>IF(J39=1,0,IF(J39=2,1,0))</f>
        <v/>
      </c>
      <c r="R376" s="24" t="n"/>
      <c r="S376" s="24" t="n"/>
      <c r="T376" s="24" t="n"/>
      <c r="U376" s="24" t="n"/>
      <c r="V376" s="24" t="n"/>
      <c r="W376" s="25">
        <f>SUM(C376:V376)</f>
        <v/>
      </c>
      <c r="X376" s="25">
        <f>SUM(W376)</f>
        <v/>
      </c>
      <c r="Y376" s="24" t="n"/>
      <c r="Z376" s="24" t="n"/>
      <c r="AA376" s="24" t="n"/>
      <c r="AB376" s="24" t="n"/>
      <c r="AC376" s="24" t="n"/>
      <c r="AD376" s="24" t="n"/>
      <c r="AE376" s="24" t="n"/>
      <c r="AF376" s="24" t="n"/>
      <c r="AG376" s="24" t="n"/>
    </row>
    <row r="377" ht="12.75" customHeight="1" s="110">
      <c r="C377" s="25" t="inlineStr">
        <is>
          <t>Puntuaciones Típicas</t>
        </is>
      </c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  <c r="AC377" s="24" t="n"/>
      <c r="AD377" s="24" t="n"/>
      <c r="AE377" s="24" t="n"/>
      <c r="AF377" s="24" t="n"/>
      <c r="AG377" s="24" t="n"/>
    </row>
    <row r="378" ht="12.75" customHeight="1" s="110">
      <c r="C378" s="24">
        <f>IF(X376=1,30,IF(X376=2,32,IF(X376=3,37,IF(X376=4,46,IF(X376=5,48,IF(X376=6,54,IF(X376=7,59,IF(X376=8,65,0))))))))</f>
        <v/>
      </c>
      <c r="D378" s="24">
        <f>IF(X376=9,70,IF(X376=10,76,IF(X376=11,81,IF(X376=12,87,IF(X376=13,92,IF(X376&gt;=14,98,0))))))</f>
        <v/>
      </c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5">
        <f>SUM(C378:O378)</f>
        <v/>
      </c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  <c r="AC378" s="24" t="n"/>
      <c r="AD378" s="24" t="n"/>
      <c r="AE378" s="24" t="n"/>
      <c r="AF378" s="24" t="n"/>
      <c r="AG378" s="24" t="n"/>
    </row>
    <row r="379" ht="12.75" customHeight="1" s="110">
      <c r="C379" s="25" t="inlineStr">
        <is>
          <t>D3.- Disfunción Física</t>
        </is>
      </c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  <c r="AC379" s="24" t="n"/>
      <c r="AD379" s="24" t="n"/>
      <c r="AE379" s="24" t="n"/>
      <c r="AF379" s="24" t="n"/>
      <c r="AG379" s="24" t="n"/>
    </row>
    <row r="380" ht="12.75" customHeight="1" s="110">
      <c r="C380" s="24">
        <f>IF(D25=1,1,IF(D25=2,0,0))</f>
        <v/>
      </c>
      <c r="D380" s="24">
        <f>IF(F64=1,1,IF(F64=2,0,0))</f>
        <v/>
      </c>
      <c r="E380" s="24">
        <f>IF(H62=1,1,IF(H62=2,0,0))</f>
        <v/>
      </c>
      <c r="F380" s="24">
        <f>IF(J8=1,1,IF(J8=2,0,0))</f>
        <v/>
      </c>
      <c r="G380" s="24" t="n"/>
      <c r="H380" s="24">
        <f>IF(D9=1,0,IF(D9=2,1,0))</f>
        <v/>
      </c>
      <c r="I380" s="24">
        <f>IF(D27=1,0,IF(D27=2,1,0))</f>
        <v/>
      </c>
      <c r="J380" s="24">
        <f>IF(D52=1,0,IF(D52=2,1,0))</f>
        <v/>
      </c>
      <c r="K380" s="24">
        <f>IF(H28=1,0,IF(H28=2,1,0))</f>
        <v/>
      </c>
      <c r="L380" s="24">
        <f>IF(H29=1,0,IF(H29=2,1,0))</f>
        <v/>
      </c>
      <c r="M380" s="24">
        <f>IF(H30=1,0,IF(H30=2,1,0))</f>
        <v/>
      </c>
      <c r="N380" s="24">
        <f>IF(H35=1,0,IF(H35=2,1,0))</f>
        <v/>
      </c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5">
        <f>SUM(C380:V380)</f>
        <v/>
      </c>
      <c r="X380" s="25">
        <f>SUM(W380)</f>
        <v/>
      </c>
      <c r="Y380" s="24" t="n"/>
      <c r="Z380" s="24" t="n"/>
      <c r="AA380" s="24" t="n"/>
      <c r="AB380" s="24" t="n"/>
      <c r="AC380" s="24" t="n"/>
      <c r="AD380" s="24" t="n"/>
      <c r="AE380" s="24" t="n"/>
      <c r="AF380" s="24" t="n"/>
      <c r="AG380" s="24" t="n"/>
    </row>
    <row r="381" ht="12.75" customHeight="1" s="110">
      <c r="C381" s="25" t="inlineStr">
        <is>
          <t>Puntuaciones Típicas</t>
        </is>
      </c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  <c r="AC381" s="24" t="n"/>
      <c r="AD381" s="24" t="n"/>
      <c r="AE381" s="24" t="n"/>
      <c r="AF381" s="24" t="n"/>
      <c r="AG381" s="24" t="n"/>
    </row>
    <row r="382" ht="12.75" customHeight="1" s="110">
      <c r="C382" s="24">
        <f>IF(X380=0,30,IF(X380=1,35,IF(X380=2,43,IF(X380=3,51,IF(X380=4,59,IF(X380=5,67,IF(X380=6,75,IF(X380=7,83,0))))))))</f>
        <v/>
      </c>
      <c r="D382" s="24">
        <f>IF(X380=8,91,IF(X380=9,100,IF(X380=10,108,IF(X380&gt;=11,116,0))))</f>
        <v/>
      </c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5">
        <f>SUM(C382:O382)</f>
        <v/>
      </c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  <c r="AC382" s="24" t="n"/>
      <c r="AD382" s="24" t="n"/>
      <c r="AE382" s="24" t="n"/>
      <c r="AF382" s="24" t="n"/>
      <c r="AG382" s="24" t="n"/>
    </row>
    <row r="383" ht="12.75" customHeight="1" s="110">
      <c r="C383" s="25" t="inlineStr">
        <is>
          <t>D4.- Inhibición Mental</t>
        </is>
      </c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  <c r="AC383" s="24" t="n"/>
      <c r="AD383" s="24" t="n"/>
      <c r="AE383" s="24" t="n"/>
      <c r="AF383" s="24" t="n"/>
      <c r="AG383" s="24" t="n"/>
    </row>
    <row r="384" ht="12.75" customHeight="1" s="110">
      <c r="C384" s="24">
        <f>IF(D22=1,1,IF(D22=2,0,0))</f>
        <v/>
      </c>
      <c r="D384" s="24">
        <f>IF(D38=1,1,IF(D38=2,0,0))</f>
        <v/>
      </c>
      <c r="E384" s="24">
        <f>IF(D45=1,1,IF(D45=2,0,0))</f>
        <v/>
      </c>
      <c r="F384" s="24">
        <f>IF(F20=1,1,IF(F20=2,0,0))</f>
        <v/>
      </c>
      <c r="G384" s="24">
        <f>IF(F39=1,1,IF(F39=2,0,0))</f>
        <v/>
      </c>
      <c r="H384" s="24">
        <f>IF(H34=1,1,IF(H34=2,0,0))</f>
        <v/>
      </c>
      <c r="I384" s="24">
        <f>IF(H57=1,1,IF(H57=2,0,0))</f>
        <v/>
      </c>
      <c r="J384" s="24">
        <f>IF(J60=1,1,IF(J60=2,0,0))</f>
        <v/>
      </c>
      <c r="K384" s="24" t="n"/>
      <c r="L384" s="24">
        <f>IF(D16=1,0,IF(D16=2,1,0))</f>
        <v/>
      </c>
      <c r="M384" s="24">
        <f>IF(D17=1,0,IF(D17=2,1,0))</f>
        <v/>
      </c>
      <c r="N384" s="24">
        <f>IF(D50=1,0,IF(D50=2,1,0))</f>
        <v/>
      </c>
      <c r="O384" s="24">
        <f>IF(F22=1,0,IF(F22=2,1,0))</f>
        <v/>
      </c>
      <c r="P384" s="24">
        <f>IF(F56=1,0,IF(F56=2,1,0))</f>
        <v/>
      </c>
      <c r="Q384" s="24">
        <f>IF(H52=1,0,IF(H52=2,1,0))</f>
        <v/>
      </c>
      <c r="R384" s="24">
        <f>IF(J15=1,0,IF(J15=2,1,0))</f>
        <v/>
      </c>
      <c r="S384" s="24" t="n"/>
      <c r="T384" s="24" t="n"/>
      <c r="U384" s="24" t="n"/>
      <c r="V384" s="24" t="n"/>
      <c r="W384" s="25">
        <f>SUM(C384:V384)</f>
        <v/>
      </c>
      <c r="X384" s="25">
        <f>SUM(W384)</f>
        <v/>
      </c>
      <c r="Y384" s="24" t="n"/>
      <c r="Z384" s="24" t="n"/>
      <c r="AA384" s="24" t="n"/>
      <c r="AB384" s="24" t="n"/>
      <c r="AC384" s="24" t="n"/>
      <c r="AD384" s="24" t="n"/>
      <c r="AE384" s="24" t="n"/>
      <c r="AF384" s="24" t="n"/>
      <c r="AG384" s="24" t="n"/>
    </row>
    <row r="385" ht="12.75" customHeight="1" s="110">
      <c r="C385" s="25" t="inlineStr">
        <is>
          <t>Puntuaciones Típicas</t>
        </is>
      </c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  <c r="AC385" s="24" t="n"/>
      <c r="AD385" s="24" t="n"/>
      <c r="AE385" s="24" t="n"/>
      <c r="AF385" s="24" t="n"/>
      <c r="AG385" s="24" t="n"/>
    </row>
    <row r="386" ht="12.75" customHeight="1" s="110">
      <c r="C386" s="24">
        <f>IF(X384=0,38,IF(X384=1,43,IF(X384=2,48,IF(X384=3,53,IF(X384=4,58,IF(X384=5,62,IF(X384=6,67,IF(X384=7,72,0))))))))</f>
        <v/>
      </c>
      <c r="D386" s="24">
        <f>IF(X384=8,77,IF(X384=9,82,IF(X384=10,86,IF(X384=11,91,IF(X384=12,96,IF(X384=13,101,IF(X384=14,105,IF(X384&gt;=15,110,0))))))))</f>
        <v/>
      </c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5">
        <f>SUM(C386:O386)</f>
        <v/>
      </c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  <c r="AC386" s="24" t="n"/>
      <c r="AD386" s="24" t="n"/>
      <c r="AE386" s="24" t="n"/>
      <c r="AF386" s="24" t="n"/>
      <c r="AG386" s="24" t="n"/>
    </row>
    <row r="387" ht="12.75" customHeight="1" s="110">
      <c r="C387" s="25" t="inlineStr">
        <is>
          <t>D5.-Rumiaciones</t>
        </is>
      </c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  <c r="AA387" s="24" t="n"/>
      <c r="AB387" s="24" t="n"/>
      <c r="AC387" s="24" t="n"/>
      <c r="AD387" s="24" t="n"/>
      <c r="AE387" s="24" t="n"/>
      <c r="AF387" s="24" t="n"/>
      <c r="AG387" s="24" t="n"/>
    </row>
    <row r="388" ht="12.75" customHeight="1" s="110">
      <c r="C388" s="24">
        <f>IF(D45=1,1,IF(D45=2,0,0))</f>
        <v/>
      </c>
      <c r="D388" s="24">
        <f>IF(D63=1,1,IF(D63=2,0,0))</f>
        <v/>
      </c>
      <c r="E388" s="24">
        <f>IF(F39=1,1,IF(F39=2,0,0))</f>
        <v/>
      </c>
      <c r="F388" s="24">
        <f>IF(H14=1,1,IF(H14=2,0,0))</f>
        <v/>
      </c>
      <c r="G388" s="24">
        <f>IF(H17=1,1,IF(H17=2,0,0))</f>
        <v/>
      </c>
      <c r="H388" s="24">
        <f>IF(H33=1,1,IF(H33=2,0,0))</f>
        <v/>
      </c>
      <c r="I388" s="24">
        <f>IF(H57=1,1,IF(H57=2,0,0))</f>
        <v/>
      </c>
      <c r="J388" s="24">
        <f>IF(J42=1,1,IF(J42=2,0,0))</f>
        <v/>
      </c>
      <c r="K388" s="24" t="n"/>
      <c r="L388" s="24">
        <f>IF(F22=1,0,IF(F22=2,1,0))</f>
        <v/>
      </c>
      <c r="M388" s="24">
        <f>IF(F42=1,0,IF(F42=2,1,0))</f>
        <v/>
      </c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5">
        <f>SUM(C388:V388)</f>
        <v/>
      </c>
      <c r="X388" s="25">
        <f>SUM(W388)</f>
        <v/>
      </c>
      <c r="Y388" s="24" t="n"/>
      <c r="Z388" s="24" t="n"/>
      <c r="AA388" s="24" t="n"/>
      <c r="AB388" s="24" t="n"/>
      <c r="AC388" s="24" t="n"/>
      <c r="AD388" s="24" t="n"/>
      <c r="AE388" s="24" t="n"/>
      <c r="AF388" s="24" t="n"/>
      <c r="AG388" s="24" t="n"/>
    </row>
    <row r="389" ht="12.75" customHeight="1" s="110">
      <c r="C389" s="25" t="inlineStr">
        <is>
          <t>Puntuaciones Típicas</t>
        </is>
      </c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  <c r="AC389" s="24" t="n"/>
      <c r="AD389" s="24" t="n"/>
      <c r="AE389" s="24" t="n"/>
      <c r="AF389" s="24" t="n"/>
      <c r="AG389" s="24" t="n"/>
    </row>
    <row r="390" ht="12.75" customHeight="1" s="110">
      <c r="C390" s="24">
        <f>IF(X388=0,40,IF(X388=1,45,IF(X388=2,51,IF(X388=3,57,IF(X388=4,62,IF(X388=5,68,IF(X388=6,74,IF(X388=7,79,0))))))))</f>
        <v/>
      </c>
      <c r="D390" s="24">
        <f>IF(X388=8,85,IF(X388=9,91,IF(X388&gt;=10,96,0)))</f>
        <v/>
      </c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5">
        <f>SUM(C390:O390)</f>
        <v/>
      </c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  <c r="AC390" s="24" t="n"/>
      <c r="AD390" s="24" t="n"/>
      <c r="AE390" s="24" t="n"/>
      <c r="AF390" s="24" t="n"/>
      <c r="AG390" s="24" t="n"/>
    </row>
    <row r="391" ht="12.75" customHeight="1" s="110"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  <c r="AC391" s="24" t="n"/>
      <c r="AD391" s="24" t="n"/>
      <c r="AE391" s="24" t="n"/>
      <c r="AF391" s="24" t="n"/>
      <c r="AG391" s="24" t="n"/>
    </row>
    <row r="392" ht="12.75" customHeight="1" s="110">
      <c r="C392" s="25" t="inlineStr">
        <is>
          <t>Histeria</t>
        </is>
      </c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  <c r="AC392" s="24" t="n"/>
      <c r="AD392" s="24" t="n"/>
      <c r="AE392" s="24" t="n"/>
      <c r="AF392" s="24" t="n"/>
      <c r="AG392" s="24" t="n"/>
    </row>
    <row r="393" ht="12.75" customHeight="1" s="110">
      <c r="C393" s="25" t="inlineStr">
        <is>
          <t>Hy1.- Negación de Ansiedad Social</t>
        </is>
      </c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  <c r="AC393" s="24" t="n"/>
      <c r="AD393" s="24" t="n"/>
      <c r="AE393" s="24" t="n"/>
      <c r="AF393" s="24" t="n"/>
      <c r="AG393" s="24" t="n"/>
    </row>
    <row r="394" ht="12.75" customHeight="1" s="110">
      <c r="C394" s="24">
        <f>IF(H16=1,0,IF(H16=2,1,0))</f>
        <v/>
      </c>
      <c r="D394" s="24">
        <f>IF(H48=1,0,IF(H48=2,1,0))</f>
        <v/>
      </c>
      <c r="E394" s="24">
        <f>IF(H54=1,0,IF(H54=2,1,0))</f>
        <v/>
      </c>
      <c r="F394" s="24">
        <f>IF(J12=1,0,IF(J12=2,1,0))</f>
        <v/>
      </c>
      <c r="G394" s="24">
        <f>IF(L10=1,0,IF(L10=2,1,0))</f>
        <v/>
      </c>
      <c r="H394" s="24">
        <f>IF(L32=1,0,IF(L32=2,1,0))</f>
        <v/>
      </c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5">
        <f>SUM(C394:V394)</f>
        <v/>
      </c>
      <c r="X394" s="25">
        <f>SUM(W394)</f>
        <v/>
      </c>
      <c r="Y394" s="24" t="n"/>
      <c r="Z394" s="24" t="n"/>
      <c r="AA394" s="24" t="n"/>
      <c r="AB394" s="24" t="n"/>
      <c r="AC394" s="24" t="n"/>
      <c r="AD394" s="24" t="n"/>
      <c r="AE394" s="24" t="n"/>
      <c r="AF394" s="24" t="n"/>
      <c r="AG394" s="24" t="n"/>
    </row>
    <row r="395" ht="12.75" customHeight="1" s="110">
      <c r="C395" s="25" t="inlineStr">
        <is>
          <t>Puntuaciones Típicas</t>
        </is>
      </c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  <c r="AC395" s="24" t="n"/>
      <c r="AD395" s="24" t="n"/>
      <c r="AE395" s="24" t="n"/>
      <c r="AF395" s="24" t="n"/>
      <c r="AG395" s="24" t="n"/>
    </row>
    <row r="396" ht="12.75" customHeight="1" s="110">
      <c r="C396" s="24">
        <f>IF(X394=0,30,IF(X394=1,34,IF(X394=2,40,IF(X394=3,45,IF(X394=4,51,IF(X394=5,56,IF(X394&gt;=6,61,0)))))))</f>
        <v/>
      </c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5">
        <f>SUM(C396:O396)</f>
        <v/>
      </c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  <c r="AC396" s="24" t="n"/>
      <c r="AD396" s="24" t="n"/>
      <c r="AE396" s="24" t="n"/>
      <c r="AF396" s="24" t="n"/>
      <c r="AG396" s="24" t="n"/>
    </row>
    <row r="397" ht="12.75" customHeight="1" s="110">
      <c r="C397" s="25" t="inlineStr">
        <is>
          <t>Hy2.- Necesidad de afecto</t>
        </is>
      </c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  <c r="AA397" s="24" t="n"/>
      <c r="AB397" s="24" t="n"/>
      <c r="AC397" s="24" t="n"/>
      <c r="AD397" s="24" t="n"/>
      <c r="AE397" s="24" t="n"/>
      <c r="AF397" s="24" t="n"/>
      <c r="AG397" s="24" t="n"/>
    </row>
    <row r="398" ht="12.75" customHeight="1" s="110">
      <c r="C398" s="24">
        <f>IF(J57=1,1,IF(J57=2,0,0))</f>
        <v/>
      </c>
      <c r="D398" s="24" t="n"/>
      <c r="E398" s="24">
        <f>IF(D33=1,0,IF(D33=2,1,0))</f>
        <v/>
      </c>
      <c r="F398" s="24">
        <f>IF(D65=1,0,IF(D65=2,1,0))</f>
        <v/>
      </c>
      <c r="G398" s="24">
        <f>IF(F23=1,0,IF(F23=2,1,0))</f>
        <v/>
      </c>
      <c r="H398" s="24">
        <f>IF(F28=1,0,IF(F28=2,1,0))</f>
        <v/>
      </c>
      <c r="I398" s="24">
        <f>IF(F45=1,0,IF(F45=2,1,0))</f>
        <v/>
      </c>
      <c r="J398" s="24">
        <f>IF(F57=1,0,IF(F57=2,1,0))</f>
        <v/>
      </c>
      <c r="K398" s="24">
        <f>IF(H11=1,0,IF(H11=2,1,0))</f>
        <v/>
      </c>
      <c r="L398" s="24">
        <f>IF(H38=1,0,IF(H38=2,1,0))</f>
        <v/>
      </c>
      <c r="M398" s="24">
        <f>IF(J40=1,0,IF(J40=2,1,0))</f>
        <v/>
      </c>
      <c r="N398" s="24">
        <f>IF(L8=1,0,IF(L8=2,1,0))</f>
        <v/>
      </c>
      <c r="O398" s="24">
        <f>IF(L30=1,0,IF(L30=2,1,0))</f>
        <v/>
      </c>
      <c r="P398" s="24" t="n"/>
      <c r="Q398" s="24" t="n"/>
      <c r="R398" s="24" t="n"/>
      <c r="S398" s="24" t="n"/>
      <c r="T398" s="24" t="n"/>
      <c r="U398" s="24" t="n"/>
      <c r="V398" s="24" t="n"/>
      <c r="W398" s="25">
        <f>SUM(C398:V398)</f>
        <v/>
      </c>
      <c r="X398" s="25">
        <f>SUM(W398)</f>
        <v/>
      </c>
      <c r="Y398" s="24" t="n"/>
      <c r="Z398" s="24" t="n"/>
      <c r="AA398" s="24" t="n"/>
      <c r="AB398" s="24" t="n"/>
      <c r="AC398" s="24" t="n"/>
      <c r="AD398" s="24" t="n"/>
      <c r="AE398" s="24" t="n"/>
      <c r="AF398" s="24" t="n"/>
      <c r="AG398" s="24" t="n"/>
    </row>
    <row r="399" ht="12.75" customHeight="1" s="110">
      <c r="C399" s="25" t="inlineStr">
        <is>
          <t>Puntuaciones Típicas</t>
        </is>
      </c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  <c r="AC399" s="24" t="n"/>
      <c r="AD399" s="24" t="n"/>
      <c r="AE399" s="24" t="n"/>
      <c r="AF399" s="24" t="n"/>
      <c r="AG399" s="24" t="n"/>
    </row>
    <row r="400" ht="12.75" customHeight="1" s="110">
      <c r="C400" s="24">
        <f>IF(X398=0,30,IF(X398=1,30,IF(X398=2,32,IF(X398=3,36,IF(X398=4,40,IF(X398=5,43,IF(X398=6,47,0)))))))</f>
        <v/>
      </c>
      <c r="D400" s="24">
        <f>IF(X398=7,51,IF(X398=8,55,IF(X398=9,59,IF(X398=10,63,IF(X398=11,67,IF(X398&gt;=12,71,0))))))</f>
        <v/>
      </c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5">
        <f>SUM(C400:O400)</f>
        <v/>
      </c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  <c r="AC400" s="24" t="n"/>
      <c r="AD400" s="24" t="n"/>
      <c r="AE400" s="24" t="n"/>
      <c r="AF400" s="24" t="n"/>
      <c r="AG400" s="24" t="n"/>
    </row>
    <row r="401" ht="12.75" customHeight="1" s="110">
      <c r="C401" s="25" t="inlineStr">
        <is>
          <t>Hy3.- Lasitud-Enfermedad</t>
        </is>
      </c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  <c r="AA401" s="24" t="n"/>
      <c r="AB401" s="24" t="n"/>
      <c r="AC401" s="24" t="n"/>
      <c r="AD401" s="24" t="n"/>
      <c r="AE401" s="24" t="n"/>
      <c r="AF401" s="24" t="n"/>
      <c r="AG401" s="24" t="n"/>
    </row>
    <row r="402" ht="12.75" customHeight="1" s="110">
      <c r="C402" s="24">
        <f>IF(D38=1,1,IF(D38=2,0,0))</f>
        <v/>
      </c>
      <c r="D402" s="24">
        <f>IF(D46=1,1,IF(D46=2,0,0))</f>
        <v/>
      </c>
      <c r="E402" s="24">
        <f>IF(F12=1,1,IF(F12=2,0,0))</f>
        <v/>
      </c>
      <c r="F402" s="24">
        <f>IF(H62=1,1,IF(H62=2,0,0))</f>
        <v/>
      </c>
      <c r="G402" s="24">
        <f>IF(J45=1,1,IF(J45=2,0,0))</f>
        <v/>
      </c>
      <c r="H402" s="24" t="n"/>
      <c r="I402" s="24">
        <f>IF(D9=1,0,IF(D9=2,1,0))</f>
        <v/>
      </c>
      <c r="J402" s="24">
        <f>IF(D10=1,0,IF(D10=2,1,0))</f>
        <v/>
      </c>
      <c r="K402" s="24">
        <f>IF(D16=1,0,IF(D16=2,1,0))</f>
        <v/>
      </c>
      <c r="L402" s="24">
        <f>IF(D17=1,0,IF(D17=2,1,0))</f>
        <v/>
      </c>
      <c r="M402" s="24">
        <f>IF(D52=1,0,IF(D52=2,1,0))</f>
        <v/>
      </c>
      <c r="N402" s="24">
        <f>IF(F42=1,0,IF(F42=2,1,0))</f>
        <v/>
      </c>
      <c r="O402" s="24">
        <f>IF(H12=1,0,IF(H12=2,1,0))</f>
        <v/>
      </c>
      <c r="P402" s="24">
        <f>IF(H28=1,0,IF(H28=2,1,0))</f>
        <v/>
      </c>
      <c r="Q402" s="24">
        <f>IF(H35=1,0,IF(H35=2,1,0))</f>
        <v/>
      </c>
      <c r="R402" s="24">
        <f>IF(H39=1,0,IF(H39=2,1,0))</f>
        <v/>
      </c>
      <c r="S402" s="24" t="n"/>
      <c r="T402" s="24" t="n"/>
      <c r="U402" s="24" t="n"/>
      <c r="V402" s="24" t="n"/>
      <c r="W402" s="25">
        <f>SUM(C402:V402)</f>
        <v/>
      </c>
      <c r="X402" s="25">
        <f>SUM(W402)</f>
        <v/>
      </c>
      <c r="Y402" s="24" t="n"/>
      <c r="Z402" s="24" t="n"/>
      <c r="AA402" s="24" t="n"/>
      <c r="AB402" s="24" t="n"/>
      <c r="AC402" s="24" t="n"/>
      <c r="AD402" s="24" t="n"/>
      <c r="AE402" s="24" t="n"/>
      <c r="AF402" s="24" t="n"/>
      <c r="AG402" s="24" t="n"/>
    </row>
    <row r="403" ht="12.75" customHeight="1" s="110">
      <c r="C403" s="25" t="inlineStr">
        <is>
          <t>Puntuaciones Típicas</t>
        </is>
      </c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  <c r="AA403" s="24" t="n"/>
      <c r="AB403" s="24" t="n"/>
      <c r="AC403" s="24" t="n"/>
      <c r="AD403" s="24" t="n"/>
      <c r="AE403" s="24" t="n"/>
      <c r="AF403" s="24" t="n"/>
      <c r="AG403" s="24" t="n"/>
    </row>
    <row r="404" ht="12.75" customHeight="1" s="110">
      <c r="C404" s="24">
        <f>IF(X402=0,38,IF(X402=1,43,IF(X402=2,48,IF(X402=3,52,IF(X402=4,57,IF(X402=5,61,IF(X402=6,66,0)))))))</f>
        <v/>
      </c>
      <c r="D404" s="24">
        <f>IF(X402=7,70,IF(X402=8,75,IF(X402=9,79,IF(X402=10,84,IF(X402=11,88,IF(X402=12,93,IF(X402=13,97,0)))))))</f>
        <v/>
      </c>
      <c r="E404" s="24">
        <f>IF(X402=14,102,IF(X402&gt;=15,106,0))</f>
        <v/>
      </c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5">
        <f>SUM(C404:O404)</f>
        <v/>
      </c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  <c r="AC404" s="24" t="n"/>
      <c r="AD404" s="24" t="n"/>
      <c r="AE404" s="24" t="n"/>
      <c r="AF404" s="24" t="n"/>
      <c r="AG404" s="24" t="n"/>
    </row>
    <row r="405" ht="12.75" customHeight="1" s="110">
      <c r="C405" s="25" t="inlineStr">
        <is>
          <t>Hy4.- Quejas Somáticas</t>
        </is>
      </c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  <c r="AC405" s="24" t="n"/>
      <c r="AD405" s="24" t="n"/>
      <c r="AE405" s="24" t="n"/>
      <c r="AF405" s="24" t="n"/>
      <c r="AG405" s="24" t="n"/>
    </row>
    <row r="406" ht="12.75" customHeight="1" s="110">
      <c r="C406" s="24">
        <f>IF(D18=1,1,IF(D18=2,0,0))</f>
        <v/>
      </c>
      <c r="D406" s="24">
        <f>IF(D25=1,1,IF(D25=2,0,0))</f>
        <v/>
      </c>
      <c r="E406" s="24">
        <f>IF(D47=1,1,IF(D47=2,0,0))</f>
        <v/>
      </c>
      <c r="F406" s="24">
        <f>IF(D51=1,1,IF(D51=2,0,0))</f>
        <v/>
      </c>
      <c r="G406" s="24">
        <f>IF(F48=1,1,IF(F48=2,0,0))</f>
        <v/>
      </c>
      <c r="H406" s="24">
        <f>IF(H59=1,1,IF(H59=2,0,0))</f>
        <v/>
      </c>
      <c r="I406" s="24" t="n"/>
      <c r="J406" s="24">
        <f>IF(D15=1,0,IF(D15=2,1,0))</f>
        <v/>
      </c>
      <c r="K406" s="24">
        <f>IF(D54=1,0,IF(D54=2,1,0))</f>
        <v/>
      </c>
      <c r="L406" s="24">
        <f>IF(F38=1,0,IF(F38=2,1,0))</f>
        <v/>
      </c>
      <c r="M406" s="24">
        <f>IF(H46=1,0,IF(H46=2,1,0))</f>
        <v/>
      </c>
      <c r="N406" s="24">
        <f>IF(H51=1,0,IF(H51=2,1,0))</f>
        <v/>
      </c>
      <c r="O406" s="24">
        <f>IF(H60=1,0,IF(H60=2,1,0))</f>
        <v/>
      </c>
      <c r="P406" s="24">
        <f>IF(H63=1,0,IF(H63=2,1,0))</f>
        <v/>
      </c>
      <c r="Q406" s="24">
        <f>IF(H66=1,0,IF(H66=2,1,0))</f>
        <v/>
      </c>
      <c r="R406" s="24">
        <f>IF(J35=1,0,IF(J35=2,1,0))</f>
        <v/>
      </c>
      <c r="S406" s="24">
        <f>IF(J51=1,0,IF(J51=2,1,0))</f>
        <v/>
      </c>
      <c r="T406" s="24">
        <f>IF(L16=1,0,IF(L16=2,1,0))</f>
        <v/>
      </c>
      <c r="U406" s="24" t="n"/>
      <c r="V406" s="24" t="n"/>
      <c r="W406" s="25">
        <f>SUM(C406:V406)</f>
        <v/>
      </c>
      <c r="X406" s="25">
        <f>SUM(W406)</f>
        <v/>
      </c>
      <c r="Y406" s="24" t="n"/>
      <c r="Z406" s="24" t="n"/>
      <c r="AA406" s="24" t="n"/>
      <c r="AB406" s="24" t="n"/>
      <c r="AC406" s="24" t="n"/>
      <c r="AD406" s="24" t="n"/>
      <c r="AE406" s="24" t="n"/>
      <c r="AF406" s="24" t="n"/>
      <c r="AG406" s="24" t="n"/>
    </row>
    <row r="407" ht="12.75" customHeight="1" s="110">
      <c r="C407" s="25" t="inlineStr">
        <is>
          <t>Puntuaciones Típicas</t>
        </is>
      </c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  <c r="AC407" s="24" t="n"/>
      <c r="AD407" s="24" t="n"/>
      <c r="AE407" s="24" t="n"/>
      <c r="AF407" s="24" t="n"/>
      <c r="AG407" s="24" t="n"/>
    </row>
    <row r="408" ht="12.75" customHeight="1" s="110">
      <c r="C408" s="24">
        <f>IF(X406=0,38,IF(X406=1,43,IF(X406=2,48,IF(X406=3,52,IF(X406=4,57,IF(X406=5,62,IF(X406=6,67,0)))))))</f>
        <v/>
      </c>
      <c r="D408" s="24">
        <f>IF(X406=7,72,IF(X406=8,77,IF(X406=9,82,IF(X406=10,86,IF(X406=11,91,IF(X406=12,96,IF(X406=13,101,0)))))))</f>
        <v/>
      </c>
      <c r="E408" s="24">
        <f>IF(X406=14,106,IF(X406=15,111,IF(X406=16,116,IF(X406&gt;=17,120,0))))</f>
        <v/>
      </c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5">
        <f>SUM(C408:O408)</f>
        <v/>
      </c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  <c r="AA408" s="24" t="n"/>
      <c r="AB408" s="24" t="n"/>
      <c r="AC408" s="24" t="n"/>
      <c r="AD408" s="24" t="n"/>
      <c r="AE408" s="24" t="n"/>
      <c r="AF408" s="24" t="n"/>
      <c r="AG408" s="24" t="n"/>
    </row>
    <row r="409" ht="12.75" customHeight="1" s="110">
      <c r="C409" s="25" t="inlineStr">
        <is>
          <t>Hy5.- Inhibición de la Agresión</t>
        </is>
      </c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  <c r="AC409" s="24" t="n"/>
      <c r="AD409" s="24" t="n"/>
      <c r="AE409" s="24" t="n"/>
      <c r="AF409" s="24" t="n"/>
      <c r="AG409" s="24" t="n"/>
    </row>
    <row r="410" ht="12.75" customHeight="1" s="110">
      <c r="C410" s="24">
        <f>IF(D14=1,0,IF(D14=2,1,0))</f>
        <v/>
      </c>
      <c r="D410" s="24">
        <f>IF(D21=1,0,IF(D21=2,1,0))</f>
        <v/>
      </c>
      <c r="E410" s="24">
        <f>IF(D36=1,0,IF(D36=2,1,0))</f>
        <v/>
      </c>
      <c r="F410" s="24">
        <f>IF(F62=1,0,IF(F62=2,1,0))</f>
        <v/>
      </c>
      <c r="G410" s="24">
        <f>IF(F63=1,0,IF(F63=2,1,0))</f>
        <v/>
      </c>
      <c r="H410" s="24">
        <f>IF(H22=1,0,IF(H22=2,1,0))</f>
        <v/>
      </c>
      <c r="I410" s="24">
        <f>IF(H44=1,0,IF(H44=2,1,0))</f>
        <v/>
      </c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5">
        <f>SUM(C410:V410)</f>
        <v/>
      </c>
      <c r="X410" s="25">
        <f>SUM(W410)</f>
        <v/>
      </c>
      <c r="Y410" s="24" t="n"/>
      <c r="Z410" s="24" t="n"/>
      <c r="AA410" s="24" t="n"/>
      <c r="AB410" s="24" t="n"/>
      <c r="AC410" s="24" t="n"/>
      <c r="AD410" s="24" t="n"/>
      <c r="AE410" s="24" t="n"/>
      <c r="AF410" s="24" t="n"/>
      <c r="AG410" s="24" t="n"/>
    </row>
    <row r="411" ht="12.75" customHeight="1" s="110">
      <c r="C411" s="25" t="inlineStr">
        <is>
          <t>Puntuaciones Típicas</t>
        </is>
      </c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  <c r="AC411" s="24" t="n"/>
      <c r="AD411" s="24" t="n"/>
      <c r="AE411" s="24" t="n"/>
      <c r="AF411" s="24" t="n"/>
      <c r="AG411" s="24" t="n"/>
    </row>
    <row r="412" ht="12.75" customHeight="1" s="110">
      <c r="C412" s="24">
        <f>IF(X410=0,30,IF(X410=1,33,IF(X410=2,40,IF(X410=3,48,IF(X410=4,55,IF(X410=5,63,IF(X410=6,71,IF(X410&gt;=7,78,0))))))))</f>
        <v/>
      </c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5">
        <f>SUM(C412:O412)</f>
        <v/>
      </c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  <c r="AC412" s="24" t="n"/>
      <c r="AD412" s="24" t="n"/>
      <c r="AE412" s="24" t="n"/>
      <c r="AF412" s="24" t="n"/>
      <c r="AG412" s="24" t="n"/>
    </row>
    <row r="413" ht="12.75" customHeight="1" s="110"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  <c r="AC413" s="24" t="n"/>
      <c r="AD413" s="24" t="n"/>
      <c r="AE413" s="24" t="n"/>
      <c r="AF413" s="24" t="n"/>
      <c r="AG413" s="24" t="n"/>
    </row>
    <row r="414" ht="12.75" customHeight="1" s="110">
      <c r="C414" s="25" t="inlineStr">
        <is>
          <t>Desviación Psicopática</t>
        </is>
      </c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  <c r="AA414" s="24" t="n"/>
      <c r="AB414" s="24" t="n"/>
      <c r="AC414" s="24" t="n"/>
      <c r="AD414" s="24" t="n"/>
      <c r="AE414" s="24" t="n"/>
      <c r="AF414" s="24" t="n"/>
      <c r="AG414" s="24" t="n"/>
    </row>
    <row r="415" ht="12.75" customHeight="1" s="110">
      <c r="C415" s="25" t="inlineStr">
        <is>
          <t>Pd1.- Discordia Familiar</t>
        </is>
      </c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  <c r="AC415" s="24" t="n"/>
      <c r="AD415" s="24" t="n"/>
      <c r="AE415" s="24" t="n"/>
      <c r="AF415" s="24" t="n"/>
      <c r="AG415" s="24" t="n"/>
    </row>
    <row r="416" ht="12.75" customHeight="1" s="110">
      <c r="C416" s="24">
        <f>IF(D28=1,1,IF(D28=2,0,0))</f>
        <v/>
      </c>
      <c r="D416" s="24">
        <f>IF(D61=1,1,IF(D61=2,0,0))</f>
        <v/>
      </c>
      <c r="E416" s="24">
        <f>IF(J22=1,1,IF(J22=2,0,0))</f>
        <v/>
      </c>
      <c r="F416" s="24">
        <f>IF(J29=1,1,IF(J29=2,0,0))</f>
        <v/>
      </c>
      <c r="G416" s="24">
        <f>IF(L55=1,1,IF(L55=2,0,0))</f>
        <v/>
      </c>
      <c r="H416" s="24" t="n"/>
      <c r="I416" s="24">
        <f>IF(F30=1,0,IF(F30=2,1,0))</f>
        <v/>
      </c>
      <c r="J416" s="24">
        <f>IF(H12=1,0,IF(H12=2,1,0))</f>
        <v/>
      </c>
      <c r="K416" s="24">
        <f>IF(J41=1,0,IF(J41=2,1,0))</f>
        <v/>
      </c>
      <c r="L416" s="24">
        <f>IF(J44=1,0,IF(J44=2,1,0))</f>
        <v/>
      </c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5">
        <f>SUM(C416:V416)</f>
        <v/>
      </c>
      <c r="X416" s="25">
        <f>SUM(W416)</f>
        <v/>
      </c>
      <c r="Y416" s="24" t="n"/>
      <c r="Z416" s="24" t="n"/>
      <c r="AA416" s="24" t="n"/>
      <c r="AB416" s="24" t="n"/>
      <c r="AC416" s="24" t="n"/>
      <c r="AD416" s="24" t="n"/>
      <c r="AE416" s="24" t="n"/>
      <c r="AF416" s="24" t="n"/>
      <c r="AG416" s="24" t="n"/>
    </row>
    <row r="417" ht="12.75" customHeight="1" s="110">
      <c r="C417" s="25" t="inlineStr">
        <is>
          <t>Puntuaciones Típicas</t>
        </is>
      </c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  <c r="AC417" s="24" t="n"/>
      <c r="AD417" s="24" t="n"/>
      <c r="AE417" s="24" t="n"/>
      <c r="AF417" s="24" t="n"/>
      <c r="AG417" s="24" t="n"/>
    </row>
    <row r="418" ht="12.75" customHeight="1" s="110">
      <c r="C418" s="24">
        <f>IF(X416=0,38,IF(X416=1,45,IF(X416=2,51,IF(X416=3,58,IF(X416=4,65,IF(X416=5,71,IF(X416=6,78,0)))))))</f>
        <v/>
      </c>
      <c r="D418" s="24">
        <f>IF(X416=7,84,IF(X416=8,91,IF(X416&gt;=9,98,0)))</f>
        <v/>
      </c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5">
        <f>SUM(C418:O418)</f>
        <v/>
      </c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  <c r="AA418" s="24" t="n"/>
      <c r="AB418" s="24" t="n"/>
      <c r="AC418" s="24" t="n"/>
      <c r="AD418" s="24" t="n"/>
      <c r="AE418" s="24" t="n"/>
      <c r="AF418" s="24" t="n"/>
      <c r="AG418" s="24" t="n"/>
    </row>
    <row r="419" ht="12.75" customHeight="1" s="110">
      <c r="C419" s="25" t="inlineStr">
        <is>
          <t>Pd2.- Problemas con  la autoridad</t>
        </is>
      </c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  <c r="AC419" s="24" t="n"/>
      <c r="AD419" s="24" t="n"/>
      <c r="AE419" s="24" t="n"/>
      <c r="AF419" s="24" t="n"/>
      <c r="AG419" s="24" t="n"/>
    </row>
    <row r="420" ht="12.75" customHeight="1" s="110">
      <c r="C420" s="24">
        <f>IF(D42=1,1,IF(D42=2,0,0))</f>
        <v/>
      </c>
      <c r="D420" s="24">
        <f>IF(F52=1,1,IF(F52=2,0,0))</f>
        <v/>
      </c>
      <c r="E420" s="24" t="n"/>
      <c r="F420" s="24">
        <f>IF(D41=1,0,IF(D41=2,1,0))</f>
        <v/>
      </c>
      <c r="G420" s="24">
        <f>IF(F17=1,0,IF(F17=2,1,0))</f>
        <v/>
      </c>
      <c r="H420" s="24">
        <f>IF(H16=1,0,IF(H16=2,1,0))</f>
        <v/>
      </c>
      <c r="I420" s="24">
        <f>IF(H47=1,0,IF(H47=2,1,0))</f>
        <v/>
      </c>
      <c r="J420" s="24">
        <f>IF(L30=1,0,IF(L30=2,1,0))</f>
        <v/>
      </c>
      <c r="K420" s="24">
        <f>IF(L33=1,0,IF(L33=2,1,0))</f>
        <v/>
      </c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5">
        <f>SUM(C420:V420)</f>
        <v/>
      </c>
      <c r="X420" s="25">
        <f>SUM(W420)</f>
        <v/>
      </c>
      <c r="Y420" s="24" t="n"/>
      <c r="Z420" s="24" t="n"/>
      <c r="AA420" s="24" t="n"/>
      <c r="AB420" s="24" t="n"/>
      <c r="AC420" s="24" t="n"/>
      <c r="AD420" s="24" t="n"/>
      <c r="AE420" s="24" t="n"/>
      <c r="AF420" s="24" t="n"/>
      <c r="AG420" s="24" t="n"/>
    </row>
    <row r="421" ht="12.75" customHeight="1" s="110">
      <c r="C421" s="25" t="inlineStr">
        <is>
          <t>Puntuaciones Típicas</t>
        </is>
      </c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  <c r="AC421" s="24" t="n"/>
      <c r="AD421" s="24" t="n"/>
      <c r="AE421" s="24" t="n"/>
      <c r="AF421" s="24" t="n"/>
      <c r="AG421" s="24" t="n"/>
    </row>
    <row r="422" ht="12.75" customHeight="1" s="110">
      <c r="C422" s="24">
        <f>IF(X420=0,30,IF(X420=1,33,IF(X420=2,40,IF(X420=3,47,IF(X420=4,53,IF(X420=5,60,IF(X420=6,67,0)))))))</f>
        <v/>
      </c>
      <c r="D422" s="24">
        <f>IF(X420=7,73,IF(X420&gt;=8,80,0))</f>
        <v/>
      </c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5">
        <f>SUM(C422:O422)</f>
        <v/>
      </c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  <c r="AA422" s="24" t="n"/>
      <c r="AB422" s="24" t="n"/>
      <c r="AC422" s="24" t="n"/>
      <c r="AD422" s="24" t="n"/>
      <c r="AE422" s="24" t="n"/>
      <c r="AF422" s="24" t="n"/>
      <c r="AG422" s="24" t="n"/>
    </row>
    <row r="423" ht="12.75" customHeight="1" s="110">
      <c r="C423" s="25" t="inlineStr">
        <is>
          <t>Pd3.- Imperturbabilidad Social</t>
        </is>
      </c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  <c r="AC423" s="24" t="n"/>
      <c r="AD423" s="24" t="n"/>
      <c r="AE423" s="24" t="n"/>
      <c r="AF423" s="24" t="n"/>
      <c r="AG423" s="24" t="n"/>
    </row>
    <row r="424" ht="12.75" customHeight="1" s="110">
      <c r="C424" s="24">
        <f>IF(F17=1,0,IF(F17=2,1,0))</f>
        <v/>
      </c>
      <c r="D424" s="24">
        <f>IF(H16=1,0,IF(H16=2,1,0))</f>
        <v/>
      </c>
      <c r="E424" s="24">
        <f>IF(H45=1,0,IF(H45=2,1,0))</f>
        <v/>
      </c>
      <c r="F424" s="24">
        <f>IF(H54=1,0,IF(H54=2,1,0))</f>
        <v/>
      </c>
      <c r="G424" s="24">
        <f>IF(J12=1,0,IF(J12=2,1,0))</f>
        <v/>
      </c>
      <c r="H424" s="24">
        <f>IF(L10=1,0,IF(L10=2,1,0))</f>
        <v/>
      </c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5">
        <f>SUM(C424:V424)</f>
        <v/>
      </c>
      <c r="X424" s="25">
        <f>SUM(W424)</f>
        <v/>
      </c>
      <c r="Y424" s="24" t="n"/>
      <c r="Z424" s="24" t="n"/>
      <c r="AA424" s="24" t="n"/>
      <c r="AB424" s="24" t="n"/>
      <c r="AC424" s="24" t="n"/>
      <c r="AD424" s="24" t="n"/>
      <c r="AE424" s="24" t="n"/>
      <c r="AF424" s="24" t="n"/>
      <c r="AG424" s="24" t="n"/>
    </row>
    <row r="425" ht="12.75" customHeight="1" s="110">
      <c r="C425" s="25" t="inlineStr">
        <is>
          <t>Puntuaciones Típicas</t>
        </is>
      </c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  <c r="AA425" s="24" t="n"/>
      <c r="AB425" s="24" t="n"/>
      <c r="AC425" s="24" t="n"/>
      <c r="AD425" s="24" t="n"/>
      <c r="AE425" s="24" t="n"/>
      <c r="AF425" s="24" t="n"/>
      <c r="AG425" s="24" t="n"/>
    </row>
    <row r="426" ht="12.75" customHeight="1" s="110">
      <c r="C426" s="24">
        <f>IF(X424=0,30,IF(X424=1,33,IF(X424=2,39,IF(X424=3,45,IF(X424=4,51,IF(X424=5,57,IF(X424&gt;=6,63,0)))))))</f>
        <v/>
      </c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5">
        <f>SUM(C426:O426)</f>
        <v/>
      </c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  <c r="AC426" s="24" t="n"/>
      <c r="AD426" s="24" t="n"/>
      <c r="AE426" s="24" t="n"/>
      <c r="AF426" s="24" t="n"/>
      <c r="AG426" s="24" t="n"/>
    </row>
    <row r="427" ht="12.75" customHeight="1" s="110">
      <c r="C427" s="25" t="inlineStr">
        <is>
          <t>Pd4.- Alienación Social</t>
        </is>
      </c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  <c r="AA427" s="24" t="n"/>
      <c r="AB427" s="24" t="n"/>
      <c r="AC427" s="24" t="n"/>
      <c r="AD427" s="24" t="n"/>
      <c r="AE427" s="24" t="n"/>
      <c r="AF427" s="24" t="n"/>
      <c r="AG427" s="24" t="n"/>
    </row>
    <row r="428" ht="12.75" customHeight="1" s="110">
      <c r="C428" s="24">
        <f>IF(D24=1,1,IF(D25=2,0,0))</f>
        <v/>
      </c>
      <c r="D428" s="24">
        <f>IF(D29=1,1,IF(D29=2,0,0))</f>
        <v/>
      </c>
      <c r="E428" s="24">
        <f>IF(D49=1,1,IF(D49=2,0,0))</f>
        <v/>
      </c>
      <c r="F428" s="24">
        <f>IF(D63=1,1,IF(D63=2,0,0))</f>
        <v/>
      </c>
      <c r="G428" s="24">
        <f>IF(F29=1,1,IF(F29=2,0,0))</f>
        <v/>
      </c>
      <c r="H428" s="24">
        <f>IF(F46=1,1,IF(F46=2,0,0))</f>
        <v/>
      </c>
      <c r="I428" s="24">
        <f>IF(F60=1,1,IF(F60=2,0,0))</f>
        <v/>
      </c>
      <c r="J428" s="24">
        <f>IF(J46=1,1,IF(J46=2,0,0))</f>
        <v/>
      </c>
      <c r="K428" s="24">
        <f>IF(J52=1,1,IF(J52=2,0,0))</f>
        <v/>
      </c>
      <c r="L428" s="24">
        <f>IF(L26=1,1,IF(L26=2,0,0))</f>
        <v/>
      </c>
      <c r="M428" s="24" t="n"/>
      <c r="N428" s="24">
        <f>IF(D19=1,0,IF(D19=2,1,0))</f>
        <v/>
      </c>
      <c r="O428" s="24">
        <f>IF(H16=1,0,IF(H16=2,1,0))</f>
        <v/>
      </c>
      <c r="P428" s="24">
        <f>IF(H44=1,0,IF(H44=2,1,0))</f>
        <v/>
      </c>
      <c r="Q428" s="24" t="n"/>
      <c r="R428" s="24" t="n"/>
      <c r="S428" s="24" t="n"/>
      <c r="T428" s="24" t="n"/>
      <c r="U428" s="24" t="n"/>
      <c r="V428" s="24" t="n"/>
      <c r="W428" s="25">
        <f>SUM(C428:V428)</f>
        <v/>
      </c>
      <c r="X428" s="25">
        <f>SUM(W428)</f>
        <v/>
      </c>
      <c r="Y428" s="24" t="n"/>
      <c r="Z428" s="24" t="n"/>
      <c r="AA428" s="24" t="n"/>
      <c r="AB428" s="24" t="n"/>
      <c r="AC428" s="24" t="n"/>
      <c r="AD428" s="24" t="n"/>
      <c r="AE428" s="24" t="n"/>
      <c r="AF428" s="24" t="n"/>
      <c r="AG428" s="24" t="n"/>
    </row>
    <row r="429" ht="12.75" customHeight="1" s="110">
      <c r="C429" s="25" t="inlineStr">
        <is>
          <t>Puntuaciones Típicas</t>
        </is>
      </c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  <c r="AA429" s="24" t="n"/>
      <c r="AB429" s="24" t="n"/>
      <c r="AC429" s="24" t="n"/>
      <c r="AD429" s="24" t="n"/>
      <c r="AE429" s="24" t="n"/>
      <c r="AF429" s="24" t="n"/>
      <c r="AG429" s="24" t="n"/>
    </row>
    <row r="430" ht="12.75" customHeight="1" s="110">
      <c r="C430" s="24">
        <f>IF(X428=0,30,IF(X428=1,35,IF(X428=2,40,IF(X428=3,45,IF(X428=4,50,IF(X428=5,56,IF(X428=6,61,0)))))))</f>
        <v/>
      </c>
      <c r="D430" s="24">
        <f>IF(X428=7,66,IF(X428=8,71,IF(X428=9,77,IF(X428=10,82,IF(X428=11,87,IF(X428=12,92,IF(X428&gt;=13,98,0)))))))</f>
        <v/>
      </c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5">
        <f>SUM(C430:O430)</f>
        <v/>
      </c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  <c r="AC430" s="24" t="n"/>
      <c r="AD430" s="24" t="n"/>
      <c r="AE430" s="24" t="n"/>
      <c r="AF430" s="24" t="n"/>
      <c r="AG430" s="24" t="n"/>
    </row>
    <row r="431" ht="12.75" customHeight="1" s="110">
      <c r="C431" s="25" t="inlineStr">
        <is>
          <t>Pd5.- Autoalienación</t>
        </is>
      </c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  <c r="AA431" s="24" t="n"/>
      <c r="AB431" s="24" t="n"/>
      <c r="AC431" s="24" t="n"/>
      <c r="AD431" s="24" t="n"/>
      <c r="AE431" s="24" t="n"/>
      <c r="AF431" s="24" t="n"/>
      <c r="AG431" s="24" t="n"/>
    </row>
    <row r="432" ht="12.75" customHeight="1" s="110">
      <c r="C432" s="24">
        <f>IF(D38=1,1,IF(D38=2,0,0))</f>
        <v/>
      </c>
      <c r="D432" s="24">
        <f>IF(D39=1,1,IF(D39=2,0,0))</f>
        <v/>
      </c>
      <c r="E432" s="24">
        <f>IF(D59=1,1,IF(D59=2,0,0))</f>
        <v/>
      </c>
      <c r="F432" s="24">
        <f>IF(D63=1,1,IF(D63=2,0,0))</f>
        <v/>
      </c>
      <c r="G432" s="24">
        <f>IF(F18=1,1,IF(F18=2,0,0))</f>
        <v/>
      </c>
      <c r="H432" s="24">
        <f>IF(F29=1,1,IF(F29=2,0,0))</f>
        <v/>
      </c>
      <c r="I432" s="24">
        <f>IF(F36=1,1,IF(F36=2,0,0))</f>
        <v/>
      </c>
      <c r="J432" s="24">
        <f>IF(F41=1,1,IF(F41=2,0,0))</f>
        <v/>
      </c>
      <c r="K432" s="24">
        <f>IF(F60=1,1,IF(F60=2,0,0))</f>
        <v/>
      </c>
      <c r="L432" s="24">
        <f>IF(L31=1,1,IF(L31=2,0,0))</f>
        <v/>
      </c>
      <c r="M432" s="24" t="n"/>
      <c r="N432" s="24">
        <f>IF(D16=1,0,IF(D16=2,1,0))</f>
        <v/>
      </c>
      <c r="O432" s="24">
        <f>IF(F42=1,0,IF(F42=2,1,0))</f>
        <v/>
      </c>
      <c r="P432" s="24" t="n"/>
      <c r="Q432" s="24" t="n"/>
      <c r="R432" s="24" t="n"/>
      <c r="S432" s="24" t="n"/>
      <c r="T432" s="24" t="n"/>
      <c r="U432" s="24" t="n"/>
      <c r="V432" s="24" t="n"/>
      <c r="W432" s="25">
        <f>SUM(C432:V432)</f>
        <v/>
      </c>
      <c r="X432" s="25">
        <f>SUM(W432)</f>
        <v/>
      </c>
      <c r="Y432" s="24" t="n"/>
      <c r="Z432" s="24" t="n"/>
      <c r="AA432" s="24" t="n"/>
      <c r="AB432" s="24" t="n"/>
      <c r="AC432" s="24" t="n"/>
      <c r="AD432" s="24" t="n"/>
      <c r="AE432" s="24" t="n"/>
      <c r="AF432" s="24" t="n"/>
      <c r="AG432" s="24" t="n"/>
    </row>
    <row r="433" ht="12.75" customHeight="1" s="110">
      <c r="C433" s="25" t="inlineStr">
        <is>
          <t>Puntuaciones Típicas</t>
        </is>
      </c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  <c r="AA433" s="24" t="n"/>
      <c r="AB433" s="24" t="n"/>
      <c r="AC433" s="24" t="n"/>
      <c r="AD433" s="24" t="n"/>
      <c r="AE433" s="24" t="n"/>
      <c r="AF433" s="24" t="n"/>
      <c r="AG433" s="24" t="n"/>
    </row>
    <row r="434" ht="12.75" customHeight="1" s="110">
      <c r="C434" s="24">
        <f>IF(X432=0,34,IF(X432=1,38,IF(X432=2,43,IF(X432=3,48,IF(X432=4,53,IF(X432=5,58,IF(X432=6,63,0)))))))</f>
        <v/>
      </c>
      <c r="D434" s="24">
        <f>IF(X432=7,67,IF(X432=8,72,IF(X432=9,77,IF(X432=10,82,IF(X432=11,87,IF(X432&gt;=12,91,0))))))</f>
        <v/>
      </c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5">
        <f>SUM(C434:O434)</f>
        <v/>
      </c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  <c r="AC434" s="24" t="n"/>
      <c r="AD434" s="24" t="n"/>
      <c r="AE434" s="24" t="n"/>
      <c r="AF434" s="24" t="n"/>
      <c r="AG434" s="24" t="n"/>
    </row>
    <row r="435" ht="12.75" customHeight="1" s="110"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  <c r="AA435" s="24" t="n"/>
      <c r="AB435" s="24" t="n"/>
      <c r="AC435" s="24" t="n"/>
      <c r="AD435" s="24" t="n"/>
      <c r="AE435" s="24" t="n"/>
      <c r="AF435" s="24" t="n"/>
      <c r="AG435" s="24" t="n"/>
    </row>
    <row r="436" ht="12.75" customHeight="1" s="110">
      <c r="C436" s="25" t="inlineStr">
        <is>
          <t>Paranoia</t>
        </is>
      </c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  <c r="AC436" s="24" t="n"/>
      <c r="AD436" s="24" t="n"/>
      <c r="AE436" s="24" t="n"/>
      <c r="AF436" s="24" t="n"/>
      <c r="AG436" s="24" t="n"/>
    </row>
    <row r="437" ht="12.75" customHeight="1" s="110">
      <c r="C437" s="25" t="inlineStr">
        <is>
          <t>Pa1.- Ideas Persecutorias</t>
        </is>
      </c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  <c r="AA437" s="24" t="n"/>
      <c r="AB437" s="24" t="n"/>
      <c r="AC437" s="24" t="n"/>
      <c r="AD437" s="24" t="n"/>
      <c r="AE437" s="24" t="n"/>
      <c r="AF437" s="24" t="n"/>
      <c r="AG437" s="24" t="n"/>
    </row>
    <row r="438" ht="12.75" customHeight="1" s="110">
      <c r="C438" s="24">
        <f>IF(D24=1,1,IF(D24=2,0,0))</f>
        <v/>
      </c>
      <c r="D438" s="24">
        <f>IF(D29=1,1,IF(D29=2,0,0))</f>
        <v/>
      </c>
      <c r="E438" s="24">
        <f>IF(D49=1,1,IF(D49=2,0,0))</f>
        <v/>
      </c>
      <c r="F438" s="24">
        <f>IF(F46=1,1,IF(F46=2,0,0))</f>
        <v/>
      </c>
      <c r="G438" s="24">
        <f>IF(F60=1,1,IF(F60=2,0,0))</f>
        <v/>
      </c>
      <c r="H438" s="24">
        <f>IF(H25=1,1,IF(H25=2,0,0))</f>
        <v/>
      </c>
      <c r="I438" s="24">
        <f>IF(H31=1,1,IF(H31=2,0,0))</f>
        <v/>
      </c>
      <c r="J438" s="24">
        <f>IF(H32=1,1,IF(H32=2,0,0))</f>
        <v/>
      </c>
      <c r="K438" s="24">
        <f>IF(H49=1,1,IF(H49=2,0,0))</f>
        <v/>
      </c>
      <c r="L438" s="24">
        <f>IF(J61=1,1,IF(J61=2,0,0))</f>
        <v/>
      </c>
      <c r="M438" s="24">
        <f>IF(L26=1,1,IF(L26=2,0,0))</f>
        <v/>
      </c>
      <c r="N438" s="24">
        <f>IF(N12=1,1,IF(N12=2,0,0))</f>
        <v/>
      </c>
      <c r="O438" s="24">
        <f>IF(N40=1,1,IF(N40=2,0,0))</f>
        <v/>
      </c>
      <c r="P438" s="24">
        <f>IF(N43=1,1,IF(N43=2,0,0))</f>
        <v/>
      </c>
      <c r="Q438" s="24">
        <f>IF(N62=1,1,IF(N62=2,0,0))</f>
        <v/>
      </c>
      <c r="R438" s="24">
        <f>IF(P8=1,1,IF(P8=2,0,0))</f>
        <v/>
      </c>
      <c r="S438" s="24" t="n"/>
      <c r="T438" s="24">
        <f>IF(N21=1,0,IF(N21=2,1,0))</f>
        <v/>
      </c>
      <c r="U438" s="24" t="n"/>
      <c r="V438" s="24" t="n"/>
      <c r="W438" s="25">
        <f>SUM(C438:V438)</f>
        <v/>
      </c>
      <c r="X438" s="25">
        <f>SUM(W438)</f>
        <v/>
      </c>
      <c r="Y438" s="24" t="n"/>
      <c r="Z438" s="24" t="n"/>
      <c r="AA438" s="24" t="n"/>
      <c r="AB438" s="24" t="n"/>
      <c r="AC438" s="24" t="n"/>
      <c r="AD438" s="24" t="n"/>
      <c r="AE438" s="24" t="n"/>
      <c r="AF438" s="24" t="n"/>
      <c r="AG438" s="24" t="n"/>
    </row>
    <row r="439" ht="12.75" customHeight="1" s="110">
      <c r="C439" s="25" t="inlineStr">
        <is>
          <t>Puntuaciones Típicas</t>
        </is>
      </c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  <c r="AA439" s="24" t="n"/>
      <c r="AB439" s="24" t="n"/>
      <c r="AC439" s="24" t="n"/>
      <c r="AD439" s="24" t="n"/>
      <c r="AE439" s="24" t="n"/>
      <c r="AF439" s="24" t="n"/>
      <c r="AG439" s="24" t="n"/>
    </row>
    <row r="440" ht="12.75" customHeight="1" s="110">
      <c r="C440" s="24">
        <f>IF(X438=0,40,IF(X438=1,46,IF(X438=2,52,IF(X438=3,58,IF(X438=4,64,IF(X438=5,70,IF(X438=6,76,0)))))))</f>
        <v/>
      </c>
      <c r="D440" s="24">
        <f>IF(X438=7,82,IF(X438=8,88,IF(X438=9,94,IF(X438=10,100,IF(X438=11,106,IF(X438=12,112,IF(X438=13,118,0)))))))</f>
        <v/>
      </c>
      <c r="E440" s="24">
        <f>IF(X438&gt;=14,120,0)</f>
        <v/>
      </c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5">
        <f>SUM(C440:O440)</f>
        <v/>
      </c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  <c r="AC440" s="24" t="n"/>
      <c r="AD440" s="24" t="n"/>
      <c r="AE440" s="24" t="n"/>
      <c r="AF440" s="24" t="n"/>
      <c r="AG440" s="24" t="n"/>
    </row>
    <row r="441" ht="12.75" customHeight="1" s="110">
      <c r="C441" s="25" t="inlineStr">
        <is>
          <t>Pa2.- Patetismo</t>
        </is>
      </c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  <c r="AA441" s="24" t="n"/>
      <c r="AB441" s="24" t="n"/>
      <c r="AC441" s="24" t="n"/>
      <c r="AD441" s="24" t="n"/>
      <c r="AE441" s="24" t="n"/>
      <c r="AF441" s="24" t="n"/>
      <c r="AG441" s="24" t="n"/>
    </row>
    <row r="442" ht="12.75" customHeight="1" s="110">
      <c r="C442" s="24">
        <f>IF(D29=1,1,IF(D29=2,0,0))</f>
        <v/>
      </c>
      <c r="D442" s="24">
        <f>IF(H33=1,1,IF(H33=2,0,0))</f>
        <v/>
      </c>
      <c r="E442" s="24">
        <f>IF(L38=1,1,IF(L38=2,0,0))</f>
        <v/>
      </c>
      <c r="F442" s="24">
        <f>IF(L44=1,1,IF(L44=2,0,0))</f>
        <v/>
      </c>
      <c r="G442" s="24">
        <f>IF(L52=1,1,IF(L52=2,0,0))</f>
        <v/>
      </c>
      <c r="H442" s="24">
        <f>IF(N14=1,1,IF(N14=2,0,0))</f>
        <v/>
      </c>
      <c r="I442" s="24">
        <f>IF(N41=1,1,IF(N41=2,0,0))</f>
        <v/>
      </c>
      <c r="J442" s="24" t="n"/>
      <c r="K442" s="24">
        <f>IF(F47=1,0,IF(F47=2,1,0))</f>
        <v/>
      </c>
      <c r="L442" s="24">
        <f>IF(L11=1,0,IF(L11=2,1,0))</f>
        <v/>
      </c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5">
        <f>SUM(C442:V442)</f>
        <v/>
      </c>
      <c r="X442" s="25">
        <f>SUM(W442)</f>
        <v/>
      </c>
      <c r="Y442" s="24" t="n"/>
      <c r="Z442" s="24" t="n"/>
      <c r="AA442" s="24" t="n"/>
      <c r="AB442" s="24" t="n"/>
      <c r="AC442" s="24" t="n"/>
      <c r="AD442" s="24" t="n"/>
      <c r="AE442" s="24" t="n"/>
      <c r="AF442" s="24" t="n"/>
      <c r="AG442" s="24" t="n"/>
    </row>
    <row r="443" ht="12.75" customHeight="1" s="110">
      <c r="C443" s="25" t="inlineStr">
        <is>
          <t>Puntuaciones Típicas</t>
        </is>
      </c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  <c r="AC443" s="24" t="n"/>
      <c r="AD443" s="24" t="n"/>
      <c r="AE443" s="24" t="n"/>
      <c r="AF443" s="24" t="n"/>
      <c r="AG443" s="24" t="n"/>
    </row>
    <row r="444" ht="12.75" customHeight="1" s="110">
      <c r="C444" s="24">
        <f>IF(X442=0,34,IF(X442=1,41,IF(X442=2,48,IF(X442=3,55,IF(X442=4,62,IF(X442=5,68,IF(X442=6,75,0)))))))</f>
        <v/>
      </c>
      <c r="D444" s="24">
        <f>IF(X442=7,82,IF(X442=8,89,IF(X442&gt;=10,96,0)))</f>
        <v/>
      </c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5">
        <f>SUM(C444:O444)</f>
        <v/>
      </c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  <c r="AC444" s="24" t="n"/>
      <c r="AD444" s="24" t="n"/>
      <c r="AE444" s="24" t="n"/>
      <c r="AF444" s="24" t="n"/>
      <c r="AG444" s="24" t="n"/>
    </row>
    <row r="445" ht="12.75" customHeight="1" s="110">
      <c r="C445" s="25" t="inlineStr">
        <is>
          <t>Pa3.- Ingenuidad</t>
        </is>
      </c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  <c r="AA445" s="24" t="n"/>
      <c r="AB445" s="24" t="n"/>
      <c r="AC445" s="24" t="n"/>
      <c r="AD445" s="24" t="n"/>
      <c r="AE445" s="24" t="n"/>
      <c r="AF445" s="24" t="n"/>
      <c r="AG445" s="24" t="n"/>
    </row>
    <row r="446" ht="12.75" customHeight="1" s="110">
      <c r="C446" s="24">
        <f>IF(D23=1,1,IF(D23=2,0,0))</f>
        <v/>
      </c>
      <c r="D446" s="24" t="n"/>
      <c r="E446" s="24">
        <f>IF(F28=1,0,IF(F28=2,1,0))</f>
        <v/>
      </c>
      <c r="F446" s="24">
        <f>IF(F45=1,0,IF(F45=2,1,0))</f>
        <v/>
      </c>
      <c r="G446" s="24">
        <f>IF(F51=1,0,IF(F51=2,1,0))</f>
        <v/>
      </c>
      <c r="H446" s="24">
        <f>IF(F57=1,0,IF(F57=2,1,0))</f>
        <v/>
      </c>
      <c r="I446" s="24">
        <f>IF(L50=1,0,IF(L50=2,1,0))</f>
        <v/>
      </c>
      <c r="J446" s="24">
        <f>IF(L51=1,0,IF(L51=2,1,0))</f>
        <v/>
      </c>
      <c r="K446" s="24">
        <f>IF(L53=1,0,IF(L53=2,1,0))</f>
        <v/>
      </c>
      <c r="L446" s="24">
        <f>IF(N22=1,0,IF(N22=2,1,0))</f>
        <v/>
      </c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5">
        <f>SUM(C446:V446)</f>
        <v/>
      </c>
      <c r="X446" s="25">
        <f>SUM(W446)</f>
        <v/>
      </c>
      <c r="Y446" s="24" t="n"/>
      <c r="Z446" s="24" t="n"/>
      <c r="AA446" s="24" t="n"/>
      <c r="AB446" s="24" t="n"/>
      <c r="AC446" s="24" t="n"/>
      <c r="AD446" s="24" t="n"/>
      <c r="AE446" s="24" t="n"/>
      <c r="AF446" s="24" t="n"/>
      <c r="AG446" s="24" t="n"/>
    </row>
    <row r="447" ht="12.75" customHeight="1" s="110">
      <c r="C447" s="25" t="inlineStr">
        <is>
          <t>Puntuaciones Típicas</t>
        </is>
      </c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  <c r="AC447" s="24" t="n"/>
      <c r="AD447" s="24" t="n"/>
      <c r="AE447" s="24" t="n"/>
      <c r="AF447" s="24" t="n"/>
      <c r="AG447" s="24" t="n"/>
    </row>
    <row r="448" ht="12.75" customHeight="1" s="110">
      <c r="C448" s="24">
        <f>IF(X446=0,30,IF(X446=1,32,IF(X446=2,36,IF(X446=3,41,IF(X446=4,46,IF(X446=5,51,IF(X446=6,56,0)))))))</f>
        <v/>
      </c>
      <c r="D448" s="24">
        <f>IF(X446=7,60,IF(X446=8,65,IF(X446&gt;=9,70,0)))</f>
        <v/>
      </c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5">
        <f>SUM(C448:O448)</f>
        <v/>
      </c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  <c r="AC448" s="24" t="n"/>
      <c r="AD448" s="24" t="n"/>
      <c r="AE448" s="24" t="n"/>
      <c r="AF448" s="24" t="n"/>
      <c r="AG448" s="24" t="n"/>
    </row>
    <row r="449" ht="12.75" customHeight="1" s="110"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  <c r="AA449" s="24" t="n"/>
      <c r="AB449" s="24" t="n"/>
      <c r="AC449" s="24" t="n"/>
      <c r="AD449" s="24" t="n"/>
      <c r="AE449" s="24" t="n"/>
      <c r="AF449" s="24" t="n"/>
      <c r="AG449" s="24" t="n"/>
    </row>
    <row r="450" ht="12.75" customHeight="1" s="110">
      <c r="C450" s="25" t="inlineStr">
        <is>
          <t>Esquizofrenia</t>
        </is>
      </c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  <c r="AC450" s="24" t="n"/>
      <c r="AD450" s="24" t="n"/>
      <c r="AE450" s="24" t="n"/>
      <c r="AF450" s="24" t="n"/>
      <c r="AG450" s="24" t="n"/>
    </row>
    <row r="451" ht="12.75" customHeight="1" s="110">
      <c r="C451" s="25" t="inlineStr">
        <is>
          <t>Sc1.- Alienación Social</t>
        </is>
      </c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  <c r="AC451" s="24" t="n"/>
      <c r="AD451" s="24" t="n"/>
      <c r="AE451" s="24" t="n"/>
      <c r="AF451" s="24" t="n"/>
      <c r="AG451" s="24" t="n"/>
    </row>
    <row r="452" ht="12.75" customHeight="1" s="110">
      <c r="C452" s="24">
        <f>IF(D24=1,1,IF(D24=2,0,0))</f>
        <v/>
      </c>
      <c r="D452" s="24">
        <f>IF(D28=1,1,IF(D28=2,0,0))</f>
        <v/>
      </c>
      <c r="E452" s="24">
        <f>IF(D29=1,1,IF(D29=2,0,0))</f>
        <v/>
      </c>
      <c r="F452" s="24">
        <f>IF(D49=1,1,IF(D49=2,0,0))</f>
        <v/>
      </c>
      <c r="G452" s="24">
        <f>IF(D53=1,1,IF(D53=2,0,0))</f>
        <v/>
      </c>
      <c r="H452" s="24">
        <f>IF(H25=1,1,IF(H25=2,0,0))</f>
        <v/>
      </c>
      <c r="I452" s="24">
        <f>IF(H32=1,1,IF(H32=2,0,0))</f>
        <v/>
      </c>
      <c r="J452" s="24">
        <f>IF(J17=1,1,IF(J17=2,0,0))</f>
        <v/>
      </c>
      <c r="K452" s="24">
        <f>IF(J48=1,1,IF(J48=2,0,0))</f>
        <v/>
      </c>
      <c r="L452" s="24">
        <f>IF(L23=1,1,IF(L23=2,0,0))</f>
        <v/>
      </c>
      <c r="M452" s="24">
        <f>IF(L44=1,1,IF(L44=2,0,0))</f>
        <v/>
      </c>
      <c r="N452" s="24">
        <f>IF(L48=1,1,IF(L48=2,0,0))</f>
        <v/>
      </c>
      <c r="O452" s="24">
        <f>IF(L58=1,1,IF(L58=2,0,0))</f>
        <v/>
      </c>
      <c r="P452" s="24">
        <f>IF(L59=1,1,IF(L59=2,0,0))</f>
        <v/>
      </c>
      <c r="Q452" s="24">
        <f>IF(N27=1,1,IF(N27=2,0,0))</f>
        <v/>
      </c>
      <c r="R452" s="24">
        <f>IF(N40=1,1,IF(N40=2,0,0))</f>
        <v/>
      </c>
      <c r="S452" s="24" t="n"/>
      <c r="T452" s="24">
        <f>IF(F37=1,0,IF(F37=2,1,0))</f>
        <v/>
      </c>
      <c r="U452" s="24">
        <f>IF(L43=1,0,IF(L43=2,1,0))</f>
        <v/>
      </c>
      <c r="V452" s="24">
        <f>IF(L45=1,0,IF(L45=2,1,0))</f>
        <v/>
      </c>
      <c r="W452" s="25">
        <f>SUM(C452:V452)</f>
        <v/>
      </c>
      <c r="X452" s="24" t="n"/>
      <c r="Y452" s="24" t="n"/>
      <c r="Z452" s="24" t="n"/>
      <c r="AA452" s="24" t="n"/>
      <c r="AB452" s="24" t="n"/>
      <c r="AC452" s="24" t="n"/>
      <c r="AD452" s="24" t="n"/>
      <c r="AE452" s="24" t="n"/>
      <c r="AF452" s="24" t="n"/>
      <c r="AG452" s="24" t="n"/>
    </row>
    <row r="453" ht="12.75" customHeight="1" s="110">
      <c r="C453" s="24">
        <f>IF(L47=1,0,IF(L47=2,1,0))</f>
        <v/>
      </c>
      <c r="D453" s="24">
        <f>IF(N50=1,0,IF(N50=2,1,0))</f>
        <v/>
      </c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5">
        <f>SUM(C453:V453)</f>
        <v/>
      </c>
      <c r="X453" s="25">
        <f>SUM(W452:W453)</f>
        <v/>
      </c>
      <c r="Y453" s="24" t="n"/>
      <c r="Z453" s="24" t="n"/>
      <c r="AA453" s="24" t="n"/>
      <c r="AB453" s="24" t="n"/>
      <c r="AC453" s="24" t="n"/>
      <c r="AD453" s="24" t="n"/>
      <c r="AE453" s="24" t="n"/>
      <c r="AF453" s="24" t="n"/>
      <c r="AG453" s="24" t="n"/>
    </row>
    <row r="454" ht="12.75" customHeight="1" s="110">
      <c r="C454" s="25" t="inlineStr">
        <is>
          <t>Puntuaciones Típicas</t>
        </is>
      </c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  <c r="AC454" s="24" t="n"/>
      <c r="AD454" s="24" t="n"/>
      <c r="AE454" s="24" t="n"/>
      <c r="AF454" s="24" t="n"/>
      <c r="AG454" s="24" t="n"/>
    </row>
    <row r="455" ht="12.75" customHeight="1" s="110">
      <c r="C455" s="24">
        <f>IF(X453=0,39,IF(X453=1,43,IF(X453=2,47,IF(X453=3,51,IF(X453=4,55,IF(X453=5,59,IF(X453=6,64,0)))))))</f>
        <v/>
      </c>
      <c r="D455" s="24">
        <f>IF(X453=7,68,IF(X453=8,72,IF(X453=9,76,IF(X453=10,80,IF(X453=11,84,IF(X453=12,88,IF(X453=13,92,0)))))))</f>
        <v/>
      </c>
      <c r="E455" s="24">
        <f>IF(X453=14,97,IF(X453=15,101,IF(X453=16,105,IF(X453=17,109,IF(X453=18,113,IF(X453=19,117,IF(X453&gt;=20,120,0)))))))</f>
        <v/>
      </c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5">
        <f>SUM(C455:O455)</f>
        <v/>
      </c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  <c r="AC455" s="24" t="n"/>
      <c r="AD455" s="24" t="n"/>
      <c r="AE455" s="24" t="n"/>
      <c r="AF455" s="24" t="n"/>
      <c r="AG455" s="24" t="n"/>
    </row>
    <row r="456" ht="12.75" customHeight="1" s="110">
      <c r="C456" s="25" t="inlineStr">
        <is>
          <t>Sc2.- Alienación Emocional</t>
        </is>
      </c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  <c r="AC456" s="24" t="n"/>
      <c r="AD456" s="24" t="n"/>
      <c r="AE456" s="24" t="n"/>
      <c r="AF456" s="24" t="n"/>
      <c r="AG456" s="24" t="n"/>
    </row>
    <row r="457" ht="12.75" customHeight="1" s="110">
      <c r="C457" s="24">
        <f>IF(F12=1,1,IF(F12=2,0,0))</f>
        <v/>
      </c>
      <c r="D457" s="24">
        <f>IF(F39=1,1,IF(F39=2,0,0))</f>
        <v/>
      </c>
      <c r="E457" s="24">
        <f>IF(J61=1,1,IF(J61=2,0,0))</f>
        <v/>
      </c>
      <c r="F457" s="24">
        <f>IF(L40=1,1,IF(L40=2,0,0))</f>
        <v/>
      </c>
      <c r="G457" s="24">
        <f>IF(N10=1,1,IF(N10=2,0,0))</f>
        <v/>
      </c>
      <c r="H457" s="24">
        <f>IF(N30=1,1,IF(N30=2,0,0))</f>
        <v/>
      </c>
      <c r="I457" s="24">
        <f>IF(N36=1,1,IF(N36=2,0,0))</f>
        <v/>
      </c>
      <c r="J457" s="24">
        <f>IF(N39=1,1,IF(N39=2,0,0))</f>
        <v/>
      </c>
      <c r="K457" s="24" t="n"/>
      <c r="L457" s="24">
        <f>IF(D16=1,0,IF(D16=2,1,0))</f>
        <v/>
      </c>
      <c r="M457" s="24">
        <f>IF(J37=1,0,IF(J37=2,1,0))</f>
        <v/>
      </c>
      <c r="N457" s="24">
        <f>IF(L57=1,0,IF(L57=2,1,0))</f>
        <v/>
      </c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5">
        <f>SUM(C457:V457)</f>
        <v/>
      </c>
      <c r="X457" s="25">
        <f>SUM(W457)</f>
        <v/>
      </c>
      <c r="Y457" s="24" t="n"/>
      <c r="Z457" s="24" t="n"/>
      <c r="AA457" s="24" t="n"/>
      <c r="AB457" s="24" t="n"/>
      <c r="AC457" s="24" t="n"/>
      <c r="AD457" s="24" t="n"/>
      <c r="AE457" s="24" t="n"/>
      <c r="AF457" s="24" t="n"/>
      <c r="AG457" s="24" t="n"/>
    </row>
    <row r="458" ht="12.75" customHeight="1" s="110">
      <c r="C458" s="25" t="inlineStr">
        <is>
          <t>Puntuaciones Típicas</t>
        </is>
      </c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  <c r="AC458" s="24" t="n"/>
      <c r="AD458" s="24" t="n"/>
      <c r="AE458" s="24" t="n"/>
      <c r="AF458" s="24" t="n"/>
      <c r="AG458" s="24" t="n"/>
    </row>
    <row r="459" ht="12.75" customHeight="1" s="110">
      <c r="C459" s="24">
        <f>IF(X457=0,40,IF(X457=1,50,IF(X457=2,59,IF(X457=3,69,IF(X457=4,78,IF(X457=5,88,IF(X457=6,98,0)))))))</f>
        <v/>
      </c>
      <c r="D459" s="24">
        <f>IF(X457=7,107,IF(X457=8,117,IF(X457&gt;=9,120,0)))</f>
        <v/>
      </c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5">
        <f>SUM(C459:O459)</f>
        <v/>
      </c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  <c r="AC459" s="24" t="n"/>
      <c r="AD459" s="24" t="n"/>
      <c r="AE459" s="24" t="n"/>
      <c r="AF459" s="24" t="n"/>
      <c r="AG459" s="24" t="n"/>
    </row>
    <row r="460" ht="12.75" customHeight="1" s="110">
      <c r="C460" s="25" t="inlineStr">
        <is>
          <t>Sc3.- Falta de control del yo, Cognitivo</t>
        </is>
      </c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  <c r="AA460" s="24" t="n"/>
      <c r="AB460" s="24" t="n"/>
      <c r="AC460" s="24" t="n"/>
      <c r="AD460" s="24" t="n"/>
      <c r="AE460" s="24" t="n"/>
      <c r="AF460" s="24" t="n"/>
      <c r="AG460" s="24" t="n"/>
    </row>
    <row r="461" ht="12.75" customHeight="1" s="110">
      <c r="C461" s="24">
        <f>IF(D38=1,1,IF(D38=2,0,0))</f>
        <v/>
      </c>
      <c r="D461" s="24">
        <f>IF(D39=1,1,IF(D39=2,0,0))</f>
        <v/>
      </c>
      <c r="E461" s="24">
        <f>IF(H34=1,1,IF(H34=2,0,0))</f>
        <v/>
      </c>
      <c r="F461" s="24">
        <f>IF(H57=1,1,IF(H57=2,0,0))</f>
        <v/>
      </c>
      <c r="G461" s="24">
        <f>IF(H67=1,1,IF(H67=2,0,0))</f>
        <v/>
      </c>
      <c r="H461" s="24">
        <f>IF(L66=1,1,IF(L66=2,0,0))</f>
        <v/>
      </c>
      <c r="I461" s="24">
        <f>IF(N18=1,1,IF(N18=2,0,0))</f>
        <v/>
      </c>
      <c r="J461" s="24">
        <f>IF(N23=1,1,IF(N23=2,0,0))</f>
        <v/>
      </c>
      <c r="K461" s="24">
        <f>IF(N32=1,1,IF(N32=2,0,0))</f>
        <v/>
      </c>
      <c r="L461" s="24" t="n"/>
      <c r="M461" s="24">
        <f>IF(H52=1,0,IF(H52=2,1,0))</f>
        <v/>
      </c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5">
        <f>SUM(C461:V461)</f>
        <v/>
      </c>
      <c r="X461" s="25">
        <f>SUM(W461)</f>
        <v/>
      </c>
      <c r="Y461" s="24" t="n"/>
      <c r="Z461" s="24" t="n"/>
      <c r="AA461" s="24" t="n"/>
      <c r="AB461" s="24" t="n"/>
      <c r="AC461" s="24" t="n"/>
      <c r="AD461" s="24" t="n"/>
      <c r="AE461" s="24" t="n"/>
      <c r="AF461" s="24" t="n"/>
      <c r="AG461" s="24" t="n"/>
    </row>
    <row r="462" ht="12.75" customHeight="1" s="110">
      <c r="C462" s="25" t="inlineStr">
        <is>
          <t>Puntuaciones Típicas</t>
        </is>
      </c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  <c r="AA462" s="24" t="n"/>
      <c r="AB462" s="24" t="n"/>
      <c r="AC462" s="24" t="n"/>
      <c r="AD462" s="24" t="n"/>
      <c r="AE462" s="24" t="n"/>
      <c r="AF462" s="24" t="n"/>
      <c r="AG462" s="24" t="n"/>
    </row>
    <row r="463" ht="12.75" customHeight="1" s="110">
      <c r="C463" s="24">
        <f>IF(X461=0,42,IF(X461=1,48,IF(X461=2,54,IF(X461=3,60,IF(X461=4,66,IF(X461=5,72,IF(X461=6,78,0)))))))</f>
        <v/>
      </c>
      <c r="D463" s="24">
        <f>IF(X461=7,84,IF(X461=8,90,IF(X461=9,96,IF(X461&gt;=10,103,0))))</f>
        <v/>
      </c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5">
        <f>SUM(C463:O463)</f>
        <v/>
      </c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  <c r="AC463" s="24" t="n"/>
      <c r="AD463" s="24" t="n"/>
      <c r="AE463" s="24" t="n"/>
      <c r="AF463" s="24" t="n"/>
      <c r="AG463" s="24" t="n"/>
    </row>
    <row r="464" ht="12.75" customHeight="1" s="110">
      <c r="C464" s="25" t="inlineStr">
        <is>
          <t>Sc4.- Falta de control del yo, Conativo</t>
        </is>
      </c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  <c r="AA464" s="24" t="n"/>
      <c r="AB464" s="24" t="n"/>
      <c r="AC464" s="24" t="n"/>
      <c r="AD464" s="24" t="n"/>
      <c r="AE464" s="24" t="n"/>
      <c r="AF464" s="24" t="n"/>
      <c r="AG464" s="24" t="n"/>
    </row>
    <row r="465" ht="12.75" customHeight="1" s="110">
      <c r="C465" s="24">
        <f>IF(D38=1,1,IF(D38=2,0,0))</f>
        <v/>
      </c>
      <c r="D465" s="24">
        <f>IF(D45=1,1,IF(D45=2,0,0))</f>
        <v/>
      </c>
      <c r="E465" s="24">
        <f>IF(D55=1,1,IF(D55=2,0,0))</f>
        <v/>
      </c>
      <c r="F465" s="24">
        <f>IF(F12=1,1,IF(F12=2,0,0))</f>
        <v/>
      </c>
      <c r="G465" s="24">
        <f>IF(F39=1,1,IF(F39=2,0,0))</f>
        <v/>
      </c>
      <c r="H465" s="24">
        <f>IF(J60=1,1,IF(J60=2,0,0))</f>
        <v/>
      </c>
      <c r="I465" s="24">
        <f>IF(J61=1,1,IF(J61=2,0,0))</f>
        <v/>
      </c>
      <c r="J465" s="24">
        <f>IF(L40=1,1,IF(L40=2,0,0))</f>
        <v/>
      </c>
      <c r="K465" s="24">
        <f>IF(L66=1,1,IF(L66=2,0,0))</f>
        <v/>
      </c>
      <c r="L465" s="24">
        <f>IF(N10=1,1,IF(N10=2,0,0))</f>
        <v/>
      </c>
      <c r="M465" s="24">
        <f>IF(N32=1,1,IF(N32=2,0,0))</f>
        <v/>
      </c>
      <c r="N465" s="24" t="n"/>
      <c r="O465" s="24">
        <f>IF(D16=1,0,IF(D16=2,1,0))</f>
        <v/>
      </c>
      <c r="P465" s="24">
        <f>IF(J37=1,0,IF(J37=2,1,0))</f>
        <v/>
      </c>
      <c r="Q465" s="24">
        <f>IF(L57=1,0,IF(L57=2,1,0))</f>
        <v/>
      </c>
      <c r="R465" s="24" t="n"/>
      <c r="S465" s="24" t="n"/>
      <c r="T465" s="24" t="n"/>
      <c r="U465" s="24" t="n"/>
      <c r="V465" s="24" t="n"/>
      <c r="W465" s="25">
        <f>SUM(C465:V465)</f>
        <v/>
      </c>
      <c r="X465" s="25">
        <f>SUM(W465)</f>
        <v/>
      </c>
      <c r="Y465" s="24" t="n"/>
      <c r="Z465" s="24" t="n"/>
      <c r="AA465" s="24" t="n"/>
      <c r="AB465" s="24" t="n"/>
      <c r="AC465" s="24" t="n"/>
      <c r="AD465" s="24" t="n"/>
      <c r="AE465" s="24" t="n"/>
      <c r="AF465" s="24" t="n"/>
      <c r="AG465" s="24" t="n"/>
    </row>
    <row r="466" ht="12.75" customHeight="1" s="110">
      <c r="C466" s="25" t="inlineStr">
        <is>
          <t>Puntuaciones Típicas</t>
        </is>
      </c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  <c r="AA466" s="24" t="n"/>
      <c r="AB466" s="24" t="n"/>
      <c r="AC466" s="24" t="n"/>
      <c r="AD466" s="24" t="n"/>
      <c r="AE466" s="24" t="n"/>
      <c r="AF466" s="24" t="n"/>
      <c r="AG466" s="24" t="n"/>
    </row>
    <row r="467" ht="12.75" customHeight="1" s="110">
      <c r="C467" s="24">
        <f>IF(X465=0,39,IF(X465=1,44,IF(X465=2,49,IF(X465=3,55,IF(X465=4,60,IF(X465=5,65,IF(X465=6,71,0)))))))</f>
        <v/>
      </c>
      <c r="D467" s="24">
        <f>IF(X465=7,76,IF(X465=8,82,IF(X465=9,87,IF(X465=10,92,IF(X465=11,98,IF(X465=12,103,IF(X465=13,109,0)))))))</f>
        <v/>
      </c>
      <c r="E467" s="24">
        <f>IF(X465&gt;=14,114,0)</f>
        <v/>
      </c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5">
        <f>SUM(C467:O467)</f>
        <v/>
      </c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  <c r="AC467" s="24" t="n"/>
      <c r="AD467" s="24" t="n"/>
      <c r="AE467" s="24" t="n"/>
      <c r="AF467" s="24" t="n"/>
      <c r="AG467" s="24" t="n"/>
    </row>
    <row r="468" ht="12.75" customHeight="1" s="110">
      <c r="C468" s="25" t="inlineStr">
        <is>
          <t>Sc5.- Falta de control del yo, inhibición defectual</t>
        </is>
      </c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  <c r="AA468" s="24" t="n"/>
      <c r="AB468" s="24" t="n"/>
      <c r="AC468" s="24" t="n"/>
      <c r="AD468" s="24" t="n"/>
      <c r="AE468" s="24" t="n"/>
      <c r="AF468" s="24" t="n"/>
      <c r="AG468" s="24" t="n"/>
    </row>
    <row r="469" ht="12.75" customHeight="1" s="110">
      <c r="C469" s="24">
        <f>IF(D30=1,1,IF(D30=2,0,0))</f>
        <v/>
      </c>
      <c r="D469" s="24">
        <f>IF(F32=1,1,IF(F32=2,0,0))</f>
        <v/>
      </c>
      <c r="E469" s="24">
        <f>IF(H55=1,1,IF(H55=2,0,0))</f>
        <v/>
      </c>
      <c r="F469" s="24">
        <f>IF(J9=1,1,IF(J9=2,0,0))</f>
        <v/>
      </c>
      <c r="G469" s="24">
        <f>IF(J45=1,1,IF(J45=2,0,0))</f>
        <v/>
      </c>
      <c r="H469" s="24">
        <f>IF(L9=1,1,IF(L9=2,0,0))</f>
        <v/>
      </c>
      <c r="I469" s="24">
        <f>IF(L41=1,1,IF(L41=2,0))</f>
        <v/>
      </c>
      <c r="J469" s="24">
        <f>IF(N27=1,1,IF(N27=2,0,0))</f>
        <v/>
      </c>
      <c r="K469" s="24">
        <f>IF(N29=1,1,IF(N29=2,0,0))</f>
        <v/>
      </c>
      <c r="L469" s="24">
        <f>IF(N36=1,1,IF(N36=2,0,0))</f>
        <v/>
      </c>
      <c r="M469" s="24">
        <f>IF(N62=1,1,IF(N62=2,0,0))</f>
        <v/>
      </c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5">
        <f>SUM(C469:V469)</f>
        <v/>
      </c>
      <c r="X469" s="25">
        <f>SUM(W469)</f>
        <v/>
      </c>
      <c r="Y469" s="24" t="n"/>
      <c r="Z469" s="24" t="n"/>
      <c r="AA469" s="24" t="n"/>
      <c r="AB469" s="24" t="n"/>
      <c r="AC469" s="24" t="n"/>
      <c r="AD469" s="24" t="n"/>
      <c r="AE469" s="24" t="n"/>
      <c r="AF469" s="24" t="n"/>
      <c r="AG469" s="24" t="n"/>
    </row>
    <row r="470" ht="12.75" customHeight="1" s="110">
      <c r="C470" s="25" t="inlineStr">
        <is>
          <t>Puntuaciones Típicas</t>
        </is>
      </c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  <c r="AC470" s="24" t="n"/>
      <c r="AD470" s="24" t="n"/>
      <c r="AE470" s="24" t="n"/>
      <c r="AF470" s="24" t="n"/>
      <c r="AG470" s="24" t="n"/>
    </row>
    <row r="471" ht="12.75" customHeight="1" s="110">
      <c r="C471" s="24">
        <f>IF(X469=0,40,IF(X469=1,47,IF(X469=2,54,IF(X469=3,61,IF(X469=4,68,IF(X469=5,75,IF(X469=6,82,0)))))))</f>
        <v/>
      </c>
      <c r="D471" s="24">
        <f>IF(X469=7,89,IF(X469=8,96,IF(X469=9,103,IF(X469=10,110,IF(X469&gt;=11,117,0)))))</f>
        <v/>
      </c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5">
        <f>SUM(C471:O471)</f>
        <v/>
      </c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  <c r="AA471" s="24" t="n"/>
      <c r="AB471" s="24" t="n"/>
      <c r="AC471" s="24" t="n"/>
      <c r="AD471" s="24" t="n"/>
      <c r="AE471" s="24" t="n"/>
      <c r="AF471" s="24" t="n"/>
      <c r="AG471" s="24" t="n"/>
    </row>
    <row r="472" ht="12.75" customHeight="1" s="110">
      <c r="C472" s="25" t="inlineStr">
        <is>
          <t>Sc6.- Experiencias Sensoriales Bizarras</t>
        </is>
      </c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  <c r="AC472" s="24" t="n"/>
      <c r="AD472" s="24" t="n"/>
      <c r="AE472" s="24" t="n"/>
      <c r="AF472" s="24" t="n"/>
      <c r="AG472" s="24" t="n"/>
    </row>
    <row r="473" ht="12.75" customHeight="1" s="110">
      <c r="C473" s="24">
        <f>IF(D30=1,1,IF(D30=2,0,0))</f>
        <v/>
      </c>
      <c r="D473" s="24">
        <f>IF(D39=1,1,IF(D39=2,0,0))</f>
        <v/>
      </c>
      <c r="E473" s="24">
        <f>IF(D51=1,1,IF(D51=2,0,0))</f>
        <v/>
      </c>
      <c r="F473" s="24">
        <f>IF(H55=1,1,IF(H55=2,0,0))</f>
        <v/>
      </c>
      <c r="G473" s="24">
        <f>IF(J9=1,1,IF(J9=2,0,0))</f>
        <v/>
      </c>
      <c r="H473" s="24">
        <f>IF(J56=1,1,IF(J56=2,0,0))</f>
        <v/>
      </c>
      <c r="I473" s="24">
        <f>IF(L14=1,1,IF(L14=2,0,0))</f>
        <v/>
      </c>
      <c r="J473" s="24">
        <f>IF(L19=1,1,IF(L19=2,0,0))</f>
        <v/>
      </c>
      <c r="K473" s="24">
        <f>IF(L63=1,1,IF(L63=2,0,0))</f>
        <v/>
      </c>
      <c r="L473" s="24">
        <f>IF(L65=1,1,IF(L65=2,0,0))</f>
        <v/>
      </c>
      <c r="M473" s="24">
        <f>IF(N14=1,1,IF(N14=2,0,0))</f>
        <v/>
      </c>
      <c r="N473" s="24">
        <f>IF(N18=1,1,IF(N18=2,0,0))</f>
        <v/>
      </c>
      <c r="O473" s="24">
        <f>IF(N26=1,1,IF(N26=2,0,0))</f>
        <v/>
      </c>
      <c r="P473" s="24">
        <f>IF(N62=1,1,IF(N62=2,0,0))</f>
        <v/>
      </c>
      <c r="Q473" s="24" t="n"/>
      <c r="R473" s="24">
        <f>IF(F38=1,0,IF(F38=2,1,0))</f>
        <v/>
      </c>
      <c r="S473" s="24">
        <f>IF(F53=1,0,IF(F53=2,1,0))</f>
        <v/>
      </c>
      <c r="T473" s="24">
        <f>IF(H64=1,0,IF(H64=2,1,0))</f>
        <v/>
      </c>
      <c r="U473" s="24">
        <f>IF(H66=1,0,IF(H66=2,1,0))</f>
        <v/>
      </c>
      <c r="V473" s="24">
        <f>IF(L22=1,0,IF(L22=2,1,0))</f>
        <v/>
      </c>
      <c r="W473" s="25">
        <f>SUM(C473:V473)</f>
        <v/>
      </c>
      <c r="X473" s="24" t="n"/>
      <c r="Y473" s="24" t="n"/>
      <c r="Z473" s="24" t="n"/>
      <c r="AA473" s="24" t="n"/>
      <c r="AB473" s="24" t="n"/>
      <c r="AC473" s="24" t="n"/>
      <c r="AD473" s="24" t="n"/>
      <c r="AE473" s="24" t="n"/>
      <c r="AF473" s="24" t="n"/>
      <c r="AG473" s="24" t="n"/>
    </row>
    <row r="474" ht="12.75" customHeight="1" s="110">
      <c r="C474" s="24">
        <f>IF(L62=1,0,IF(L62=2,1,0))</f>
        <v/>
      </c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5">
        <f>SUM(C474:V474)</f>
        <v/>
      </c>
      <c r="X474" s="25">
        <f>SUM(W473:W474)</f>
        <v/>
      </c>
      <c r="Y474" s="24" t="n"/>
      <c r="Z474" s="24" t="n"/>
      <c r="AA474" s="24" t="n"/>
      <c r="AB474" s="24" t="n"/>
      <c r="AC474" s="24" t="n"/>
      <c r="AD474" s="24" t="n"/>
      <c r="AE474" s="24" t="n"/>
      <c r="AF474" s="24" t="n"/>
      <c r="AG474" s="24" t="n"/>
    </row>
    <row r="475" ht="12.75" customHeight="1" s="110">
      <c r="C475" s="25" t="inlineStr">
        <is>
          <t>Puntuaciones Típicas</t>
        </is>
      </c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  <c r="AA475" s="24" t="n"/>
      <c r="AB475" s="24" t="n"/>
      <c r="AC475" s="24" t="n"/>
      <c r="AD475" s="24" t="n"/>
      <c r="AE475" s="24" t="n"/>
      <c r="AF475" s="24" t="n"/>
      <c r="AG475" s="24" t="n"/>
    </row>
    <row r="476" ht="12.75" customHeight="1" s="110">
      <c r="C476" s="24">
        <f>IF(X474=0,41,IF(X474=1,46,IF(X474=2,51,IF(X474=3,55,IF(X474=4,60,IF(X474=5,65,IF(X474=6,70,0)))))))</f>
        <v/>
      </c>
      <c r="D476" s="24">
        <f>IF(X474=7,75,IF(X474=8,80,IF(X474=9,85,IF(X474=10,90,IF(X474=11,95,IF(X474=12,99,IF(X474=13,104,0)))))))</f>
        <v/>
      </c>
      <c r="E476" s="24">
        <f>IF(X474=14,109,IF(X474=15,114,IF(X474=16,119,IF(X474&gt;=17,120,0))))</f>
        <v/>
      </c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5">
        <f>SUM(C476:O476)</f>
        <v/>
      </c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  <c r="AC476" s="24" t="n"/>
      <c r="AD476" s="24" t="n"/>
      <c r="AE476" s="24" t="n"/>
      <c r="AF476" s="24" t="n"/>
      <c r="AG476" s="24" t="n"/>
    </row>
    <row r="477" ht="12.75" customHeight="1" s="110"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  <c r="AA477" s="24" t="n"/>
      <c r="AB477" s="24" t="n"/>
      <c r="AC477" s="24" t="n"/>
      <c r="AD477" s="24" t="n"/>
      <c r="AE477" s="24" t="n"/>
      <c r="AF477" s="24" t="n"/>
      <c r="AG477" s="24" t="n"/>
    </row>
    <row r="478" ht="12.75" customHeight="1" s="110">
      <c r="C478" s="25" t="inlineStr">
        <is>
          <t>Hipomanía</t>
        </is>
      </c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  <c r="AC478" s="24" t="n"/>
      <c r="AD478" s="24" t="n"/>
      <c r="AE478" s="24" t="n"/>
      <c r="AF478" s="24" t="n"/>
      <c r="AG478" s="24" t="n"/>
    </row>
    <row r="479" ht="12.75" customHeight="1" s="110">
      <c r="C479" s="25" t="inlineStr">
        <is>
          <t>Ma1.- Amoralidad</t>
        </is>
      </c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  <c r="AA479" s="24" t="n"/>
      <c r="AB479" s="24" t="n"/>
      <c r="AC479" s="24" t="n"/>
      <c r="AD479" s="24" t="n"/>
      <c r="AE479" s="24" t="n"/>
      <c r="AF479" s="24" t="n"/>
      <c r="AG479" s="24" t="n"/>
    </row>
    <row r="480" ht="12.75" customHeight="1" s="110">
      <c r="C480" s="24">
        <f>IF(H18=1,1,IF(H18=2,0,0))</f>
        <v/>
      </c>
      <c r="D480" s="24">
        <f>IF(J54=1,1,IF(J54=2,0,0))</f>
        <v/>
      </c>
      <c r="E480" s="24">
        <f>IF(L15=1,1,IF(L15=2,0,0))</f>
        <v/>
      </c>
      <c r="F480" s="24">
        <f>IF(L17=1,1,IF(L17=2,0,0))</f>
        <v/>
      </c>
      <c r="G480" s="24">
        <f>IF(L36=1,1,IF(L36=2,0,0))</f>
        <v/>
      </c>
      <c r="H480" s="24" t="n"/>
      <c r="I480" s="24">
        <f>IF(L30=1,0,IF(L30=2,1,0))</f>
        <v/>
      </c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5">
        <f>SUM(C480:V480)</f>
        <v/>
      </c>
      <c r="X480" s="25">
        <f>SUM(W480)</f>
        <v/>
      </c>
      <c r="Y480" s="24" t="n"/>
      <c r="Z480" s="24" t="n"/>
      <c r="AA480" s="24" t="n"/>
      <c r="AB480" s="24" t="n"/>
      <c r="AC480" s="24" t="n"/>
      <c r="AD480" s="24" t="n"/>
      <c r="AE480" s="24" t="n"/>
      <c r="AF480" s="24" t="n"/>
      <c r="AG480" s="24" t="n"/>
    </row>
    <row r="481" ht="12.75" customHeight="1" s="110">
      <c r="C481" s="25" t="inlineStr">
        <is>
          <t>Puntuaciones Típicas</t>
        </is>
      </c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  <c r="AA481" s="24" t="n"/>
      <c r="AB481" s="24" t="n"/>
      <c r="AC481" s="24" t="n"/>
      <c r="AD481" s="24" t="n"/>
      <c r="AE481" s="24" t="n"/>
      <c r="AF481" s="24" t="n"/>
      <c r="AG481" s="24" t="n"/>
    </row>
    <row r="482" ht="12.75" customHeight="1" s="110">
      <c r="C482" s="24">
        <f>IF(X480=0,35,IF(X480=1,42,IF(X480=2,50,IF(X480=3,58,IF(X480=4,66,IF(X480=5,74,IF(X480&gt;=6,81,0)))))))</f>
        <v/>
      </c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5">
        <f>SUM(C482:O482)</f>
        <v/>
      </c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  <c r="AC482" s="24" t="n"/>
      <c r="AD482" s="24" t="n"/>
      <c r="AE482" s="24" t="n"/>
      <c r="AF482" s="24" t="n"/>
      <c r="AG482" s="24" t="n"/>
    </row>
    <row r="483" ht="12.75" customHeight="1" s="110">
      <c r="C483" s="25" t="inlineStr">
        <is>
          <t>Ma2.- Aceleración Psicomotriz</t>
        </is>
      </c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  <c r="AC483" s="24" t="n"/>
      <c r="AD483" s="24" t="n"/>
      <c r="AE483" s="24" t="n"/>
      <c r="AF483" s="24" t="n"/>
      <c r="AG483" s="24" t="n"/>
    </row>
    <row r="484" ht="12.75" customHeight="1" s="110">
      <c r="C484" s="24">
        <f>IF(D22=1,1,IF(D22=2,0,0))</f>
        <v/>
      </c>
      <c r="D484" s="24">
        <f>IF(F32=1,1,IF(F32=2,0,0))</f>
        <v/>
      </c>
      <c r="E484" s="24">
        <f>IF(F34=1,1,IF(F34=2,0,0))</f>
        <v/>
      </c>
      <c r="F484" s="24">
        <f>IF(H9=1,1,IF(H9=2,0,0))</f>
        <v/>
      </c>
      <c r="G484" s="24">
        <f>IF(H56=1,1,IF(H56=2,0,0))</f>
        <v/>
      </c>
      <c r="H484" s="24">
        <f>IF(J33=1,1,IF(J33=2,0,0))</f>
        <v/>
      </c>
      <c r="I484" s="24">
        <f>IF(J45=1,1,IF(J45=2,0,0))</f>
        <v/>
      </c>
      <c r="J484" s="24">
        <f>IF(L9=1,1,IF(L9=2,0,0))</f>
        <v/>
      </c>
      <c r="K484" s="24">
        <f>IF(L11=1,1,IF(L11=2,0,0))</f>
        <v/>
      </c>
      <c r="L484" s="24" t="n"/>
      <c r="M484" s="24">
        <f>IF(F47=1,0,IF(F47=2,1,0))</f>
        <v/>
      </c>
      <c r="N484" s="24">
        <f>IF(F53=1,0,IF(F53=2,1,0))</f>
        <v/>
      </c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5">
        <f>SUM(C484:V484)</f>
        <v/>
      </c>
      <c r="X484" s="25">
        <f>SUM(W484)</f>
        <v/>
      </c>
      <c r="Y484" s="24" t="n"/>
      <c r="Z484" s="24" t="n"/>
      <c r="AA484" s="24" t="n"/>
      <c r="AB484" s="24" t="n"/>
      <c r="AC484" s="24" t="n"/>
      <c r="AD484" s="24" t="n"/>
      <c r="AE484" s="24" t="n"/>
      <c r="AF484" s="24" t="n"/>
      <c r="AG484" s="24" t="n"/>
    </row>
    <row r="485" ht="12.75" customHeight="1" s="110">
      <c r="C485" s="25" t="inlineStr">
        <is>
          <t>Puntuaciones Típicas</t>
        </is>
      </c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  <c r="AC485" s="24" t="n"/>
      <c r="AD485" s="24" t="n"/>
      <c r="AE485" s="24" t="n"/>
      <c r="AF485" s="24" t="n"/>
      <c r="AG485" s="24" t="n"/>
    </row>
    <row r="486" ht="12.75" customHeight="1" s="110">
      <c r="C486" s="24">
        <f>IF(X484&lt;=1,30,IF(X484=2,34,IF(X484=3,39,IF(X484=4,44,IF(X484=5,49,IF(X484=6,53,IF(X484=7,58,0)))))))</f>
        <v/>
      </c>
      <c r="D486" s="24">
        <f>IF(X484=8,63,IF(X484=9,68,IF(X484=10,73,IF(X484&gt;=11,78,0))))</f>
        <v/>
      </c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5">
        <f>SUM(C486:O486)</f>
        <v/>
      </c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  <c r="AC486" s="24" t="n"/>
      <c r="AD486" s="24" t="n"/>
      <c r="AE486" s="24" t="n"/>
      <c r="AF486" s="24" t="n"/>
      <c r="AG486" s="24" t="n"/>
    </row>
    <row r="487" ht="12.75" customHeight="1" s="110">
      <c r="C487" s="25" t="inlineStr">
        <is>
          <t>Ma3.- Imperturbabilidad</t>
        </is>
      </c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  <c r="AC487" s="24" t="n"/>
      <c r="AD487" s="24" t="n"/>
      <c r="AE487" s="24" t="n"/>
      <c r="AF487" s="24" t="n"/>
      <c r="AG487" s="24" t="n"/>
    </row>
    <row r="488" ht="12.75" customHeight="1" s="110">
      <c r="C488" s="24">
        <f>IF(H42=1,1,IF(H42=2,0,0))</f>
        <v/>
      </c>
      <c r="D488" s="24">
        <f>IF(J27=1,1,IF(J27=2,0,0))</f>
        <v/>
      </c>
      <c r="E488" s="24">
        <f>IF(J47=1,1,IF(J47=2,0,0))</f>
        <v/>
      </c>
      <c r="F488" s="24" t="n"/>
      <c r="G488" s="24">
        <f>IF(F40=1,0,IF(F40=2,1,0))</f>
        <v/>
      </c>
      <c r="H488" s="24">
        <f>IF(H23=1,0,IF(H23=2,1,0))</f>
        <v/>
      </c>
      <c r="I488" s="24">
        <f>IF(H45=1,0,IF(H45=2,1,0))</f>
        <v/>
      </c>
      <c r="J488" s="24">
        <f>IF(H54=1,0,IF(H54=2,1,0))</f>
        <v/>
      </c>
      <c r="K488" s="24">
        <f>IF(L10=1,0,IF(L10=2,1,0))</f>
        <v/>
      </c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5">
        <f>SUM(C488:V488)</f>
        <v/>
      </c>
      <c r="X488" s="25">
        <f>SUM(W488)</f>
        <v/>
      </c>
      <c r="Y488" s="24" t="n"/>
      <c r="Z488" s="24" t="n"/>
      <c r="AA488" s="24" t="n"/>
      <c r="AB488" s="24" t="n"/>
      <c r="AC488" s="24" t="n"/>
      <c r="AD488" s="24" t="n"/>
      <c r="AE488" s="24" t="n"/>
      <c r="AF488" s="24" t="n"/>
      <c r="AG488" s="24" t="n"/>
    </row>
    <row r="489" ht="12.75" customHeight="1" s="110">
      <c r="C489" s="25" t="inlineStr">
        <is>
          <t>Puntuaciones Típicas</t>
        </is>
      </c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  <c r="AC489" s="24" t="n"/>
      <c r="AD489" s="24" t="n"/>
      <c r="AE489" s="24" t="n"/>
      <c r="AF489" s="24" t="n"/>
      <c r="AG489" s="24" t="n"/>
    </row>
    <row r="490" ht="12.75" customHeight="1" s="110">
      <c r="C490" s="24">
        <f>IF(X488=0,30,IF(X488=1,35,IF(X488=2,41,IF(X488=3,47,IF(X488=4,53,IF(X488=5,59,IF(X488=6,65,0)))))))</f>
        <v/>
      </c>
      <c r="D490" s="24">
        <f>IF(X488=7,71,IF(X488&gt;=8,77,0))</f>
        <v/>
      </c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5">
        <f>SUM(C490:O490)</f>
        <v/>
      </c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  <c r="AC490" s="24" t="n"/>
      <c r="AD490" s="24" t="n"/>
      <c r="AE490" s="24" t="n"/>
      <c r="AF490" s="24" t="n"/>
      <c r="AG490" s="24" t="n"/>
    </row>
    <row r="491" ht="12.75" customHeight="1" s="110">
      <c r="C491" s="25" t="inlineStr">
        <is>
          <t>Ma4.- Hipertrofia del yo</t>
        </is>
      </c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  <c r="AC491" s="24" t="n"/>
      <c r="AD491" s="24" t="n"/>
      <c r="AE491" s="24" t="n"/>
      <c r="AF491" s="24" t="n"/>
      <c r="AG491" s="24" t="n"/>
    </row>
    <row r="492" ht="12.75" customHeight="1" s="110">
      <c r="C492" s="24">
        <f>IF(D20=1,1,IF(D20=2,0,0))</f>
        <v/>
      </c>
      <c r="D492" s="24">
        <f>IF(D57=1,1,IF(D57=2,0,0))</f>
        <v/>
      </c>
      <c r="E492" s="24">
        <f>IF(D62=1,1,IF(D62=2,0,0))</f>
        <v/>
      </c>
      <c r="F492" s="24">
        <f>IF(F8=1,1,IF(F8=2,0,0))</f>
        <v/>
      </c>
      <c r="G492" s="24">
        <f>IF(F45=1,1,IF(F45=2,0,0))</f>
        <v/>
      </c>
      <c r="H492" s="24">
        <f>IF(H32=1,1,IF(H32=2,0,0))</f>
        <v/>
      </c>
      <c r="I492" s="24">
        <f>IF(J17=1,1,IF(J17=2,0,0))</f>
        <v/>
      </c>
      <c r="J492" s="24">
        <f>IF(J38=1,1,IF(J38=2,0,0))</f>
        <v/>
      </c>
      <c r="K492" s="24">
        <f>IF(J39=1,1,IF(J39=2,0,0))</f>
        <v/>
      </c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5">
        <f>SUM(C492:V492)</f>
        <v/>
      </c>
      <c r="X492" s="25">
        <f>SUM(W492)</f>
        <v/>
      </c>
      <c r="Y492" s="24" t="n"/>
      <c r="Z492" s="24" t="n"/>
      <c r="AA492" s="24" t="n"/>
      <c r="AB492" s="24" t="n"/>
      <c r="AC492" s="24" t="n"/>
      <c r="AD492" s="24" t="n"/>
      <c r="AE492" s="24" t="n"/>
      <c r="AF492" s="24" t="n"/>
      <c r="AG492" s="24" t="n"/>
    </row>
    <row r="493" ht="12.75" customHeight="1" s="110">
      <c r="C493" s="25" t="inlineStr">
        <is>
          <t>Puntuaciones Típicas</t>
        </is>
      </c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  <c r="AC493" s="24" t="n"/>
      <c r="AD493" s="24" t="n"/>
      <c r="AE493" s="24" t="n"/>
      <c r="AF493" s="24" t="n"/>
      <c r="AG493" s="24" t="n"/>
    </row>
    <row r="494" ht="12.75" customHeight="1" s="110">
      <c r="C494" s="24">
        <f>IF(X492=0,30,IF(X492=1,37,IF(X492=2,43,IF(X492=3,50,IF(X492=4,56,IF(X492=5,63,IF(X492=6,69,0)))))))</f>
        <v/>
      </c>
      <c r="D494" s="24">
        <f>IF(X492=7,76,IF(X492=8,82,IF(X492&gt;=9,89,0)))</f>
        <v/>
      </c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5">
        <f>SUM(C494:O494)</f>
        <v/>
      </c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  <c r="AC494" s="24" t="n"/>
      <c r="AD494" s="24" t="n"/>
      <c r="AE494" s="24" t="n"/>
      <c r="AF494" s="24" t="n"/>
      <c r="AG494" s="24" t="n"/>
    </row>
    <row r="495" ht="12.75" customHeight="1" s="110"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  <c r="AC495" s="24" t="n"/>
      <c r="AD495" s="24" t="n"/>
      <c r="AE495" s="24" t="n"/>
      <c r="AF495" s="24" t="n"/>
      <c r="AG495" s="24" t="n"/>
    </row>
    <row r="496" ht="12.75" customHeight="1" s="110">
      <c r="C496" s="25" t="inlineStr">
        <is>
          <t>Introversión Social</t>
        </is>
      </c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  <c r="AC496" s="24" t="n"/>
      <c r="AD496" s="24" t="n"/>
      <c r="AE496" s="24" t="n"/>
      <c r="AF496" s="24" t="n"/>
      <c r="AG496" s="24" t="n"/>
    </row>
    <row r="497" ht="12.75" customHeight="1" s="110">
      <c r="C497" s="25" t="inlineStr">
        <is>
          <t>Si1.- Timidez-Autoconciencia</t>
        </is>
      </c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  <c r="AC497" s="24" t="n"/>
      <c r="AD497" s="24" t="n"/>
      <c r="AE497" s="24" t="n"/>
      <c r="AF497" s="24" t="n"/>
      <c r="AG497" s="24" t="n"/>
    </row>
    <row r="498" ht="12.75" customHeight="1" s="110">
      <c r="C498" s="24">
        <f>IF(H45=1,1,IF(H45=2,0,0))</f>
        <v/>
      </c>
      <c r="D498" s="24">
        <f>IF(H48=1,1,IF(H48=2,0,0))</f>
        <v/>
      </c>
      <c r="E498" s="24">
        <f>IF(H54=1,1,IF(H54=2,0,0))</f>
        <v/>
      </c>
      <c r="F498" s="24">
        <f>IF(J12=1,1,IF(J12=2,0,0))</f>
        <v/>
      </c>
      <c r="G498" s="24">
        <f>IF(L10=1,1,IF(L10=2,0,0))</f>
        <v/>
      </c>
      <c r="H498" s="24">
        <f>IF(L32=1,1,IF(L32=2,0,0))</f>
        <v/>
      </c>
      <c r="I498" s="24">
        <f>IF(L42=1,1,IF(L42=2,0,0))</f>
        <v/>
      </c>
      <c r="J498" s="24">
        <f>IF(L56=1,1,IF(L56=2,0,0))</f>
        <v/>
      </c>
      <c r="K498" s="24" t="n"/>
      <c r="L498" s="24">
        <f>IF(D56=1,0,IF(D56=2,1,0))</f>
        <v/>
      </c>
      <c r="M498" s="24">
        <f>IF(L29=1,0,IF(L29=2,1,0))</f>
        <v/>
      </c>
      <c r="N498" s="24">
        <f>IF(L47=1,0,IF(L47=2,1,0))</f>
        <v/>
      </c>
      <c r="O498" s="24">
        <f>IF(N28=1,0,IF(N28=2,1,0))</f>
        <v/>
      </c>
      <c r="P498" s="24">
        <f>IF(N49=1,0,IF(N49=2,1,0))</f>
        <v/>
      </c>
      <c r="Q498" s="24">
        <f>IF(N67=1,0,IF(N67=2,1,0))</f>
        <v/>
      </c>
      <c r="R498" s="24" t="n"/>
      <c r="S498" s="24" t="n"/>
      <c r="T498" s="24" t="n"/>
      <c r="U498" s="24" t="n"/>
      <c r="V498" s="24" t="n"/>
      <c r="W498" s="25">
        <f>SUM(C498:V498)</f>
        <v/>
      </c>
      <c r="X498" s="25">
        <f>SUM(W498)</f>
        <v/>
      </c>
      <c r="Y498" s="24" t="n"/>
      <c r="Z498" s="24" t="n"/>
      <c r="AA498" s="24" t="n"/>
      <c r="AB498" s="24" t="n"/>
      <c r="AC498" s="24" t="n"/>
      <c r="AD498" s="24" t="n"/>
      <c r="AE498" s="24" t="n"/>
      <c r="AF498" s="24" t="n"/>
      <c r="AG498" s="24" t="n"/>
    </row>
    <row r="499" ht="12.75" customHeight="1" s="110">
      <c r="C499" s="25" t="inlineStr">
        <is>
          <t>Puntuaciones Típicas</t>
        </is>
      </c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  <c r="AC499" s="24" t="n"/>
      <c r="AD499" s="24" t="n"/>
      <c r="AE499" s="24" t="n"/>
      <c r="AF499" s="24" t="n"/>
      <c r="AG499" s="24" t="n"/>
    </row>
    <row r="500" ht="12.75" customHeight="1" s="110">
      <c r="C500" s="24">
        <f>IF(X498=0,36,IF(X498=1,39,IF(X498=2,42,IF(X498=3,45,IF(X498=4,48,IF(X498=5,51,IF(X498=6,54,IF(X498=7,56,0))))))))</f>
        <v/>
      </c>
      <c r="D500" s="24">
        <f>IF(X498=8,59,IF(X498=9,62,IF(X498=10,65,IF(X498=11,68,IF(X498=12,71,IF(X498=13,74,IF(X498&gt;=14,77,0)))))))</f>
        <v/>
      </c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5">
        <f>SUM(C500:O500)</f>
        <v/>
      </c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  <c r="AC500" s="24" t="n"/>
      <c r="AD500" s="24" t="n"/>
      <c r="AE500" s="24" t="n"/>
      <c r="AF500" s="24" t="n"/>
      <c r="AG500" s="24" t="n"/>
    </row>
    <row r="501" ht="12.75" customHeight="1" s="110">
      <c r="C501" s="25" t="inlineStr">
        <is>
          <t>Si2.- Evitación Social</t>
        </is>
      </c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  <c r="AC501" s="24" t="n"/>
      <c r="AD501" s="24" t="n"/>
      <c r="AE501" s="24" t="n"/>
      <c r="AF501" s="24" t="n"/>
      <c r="AG501" s="24" t="n"/>
    </row>
    <row r="502" ht="12.75" customHeight="1" s="110">
      <c r="C502" s="24">
        <f>IF(N44=1,1,IF(N44=2,0,0))</f>
        <v/>
      </c>
      <c r="D502" s="24">
        <f>IF(P14=1,1,IF(P14=2,0,0))</f>
        <v/>
      </c>
      <c r="E502" s="24" t="n"/>
      <c r="F502" s="24">
        <f>IF(F33=1,0,IF(F33=2,1,0))</f>
        <v/>
      </c>
      <c r="G502" s="24">
        <f>IF(N47=1,0,IF(N47=2,1,0))</f>
        <v/>
      </c>
      <c r="H502" s="24">
        <f>IF(N60=1,0,IF(N60=2,1,0))</f>
        <v/>
      </c>
      <c r="I502" s="24">
        <f>IF(N66=1,0,IF(N66=2,1,0))</f>
        <v/>
      </c>
      <c r="J502" s="24">
        <f>IF(P10=1,0,IF(P10=2,1,0))</f>
        <v/>
      </c>
      <c r="K502" s="24">
        <f>IF(P17=1,0,IF(P17=2,1,0))</f>
        <v/>
      </c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5">
        <f>SUM(C502:V502)</f>
        <v/>
      </c>
      <c r="X502" s="25">
        <f>SUM(W502)</f>
        <v/>
      </c>
      <c r="Y502" s="24" t="n"/>
      <c r="Z502" s="24" t="n"/>
      <c r="AA502" s="24" t="n"/>
      <c r="AB502" s="24" t="n"/>
      <c r="AC502" s="24" t="n"/>
      <c r="AD502" s="24" t="n"/>
      <c r="AE502" s="24" t="n"/>
      <c r="AF502" s="24" t="n"/>
      <c r="AG502" s="24" t="n"/>
    </row>
    <row r="503" ht="12.75" customHeight="1" s="110">
      <c r="C503" s="25" t="inlineStr">
        <is>
          <t>Puntuaciones Típicas</t>
        </is>
      </c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  <c r="AA503" s="24" t="n"/>
      <c r="AB503" s="24" t="n"/>
      <c r="AC503" s="24" t="n"/>
      <c r="AD503" s="24" t="n"/>
      <c r="AE503" s="24" t="n"/>
      <c r="AF503" s="24" t="n"/>
      <c r="AG503" s="24" t="n"/>
    </row>
    <row r="504" ht="12.75" customHeight="1" s="110">
      <c r="C504" s="24">
        <f>IF(X502=0,37,IF(X502=1,41,IF(X502=2,45,IF(X502=3,49,IF(X502=4,54,IF(X502=5,58,IF(X502=6,62,IF(X502=7,67,0))))))))</f>
        <v/>
      </c>
      <c r="D504" s="24">
        <f>IF(X502&gt;=8,71,0)</f>
        <v/>
      </c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5">
        <f>SUM(C504:O504)</f>
        <v/>
      </c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  <c r="AC504" s="24" t="n"/>
      <c r="AD504" s="24" t="n"/>
      <c r="AE504" s="24" t="n"/>
      <c r="AF504" s="24" t="n"/>
      <c r="AG504" s="24" t="n"/>
    </row>
    <row r="505" ht="12.75" customHeight="1" s="110">
      <c r="C505" s="25" t="inlineStr">
        <is>
          <t>Si3.- Auto/otros alienación</t>
        </is>
      </c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  <c r="AC505" s="24" t="n"/>
      <c r="AD505" s="24" t="n"/>
      <c r="AE505" s="24" t="n"/>
      <c r="AF505" s="24" t="n"/>
      <c r="AG505" s="24" t="n"/>
    </row>
    <row r="506" ht="12.75" customHeight="1" s="110">
      <c r="C506" s="24">
        <f>IF(D38=1,1,IF(D38=2,0,0))</f>
        <v/>
      </c>
      <c r="D506" s="24">
        <f>IF(D63=1,1,IF(D63=2,0,0))</f>
        <v/>
      </c>
      <c r="E506" s="24">
        <f>IF(F51=1,1,IF(F51=2,0,0))</f>
        <v/>
      </c>
      <c r="F506" s="24">
        <f>IF(F57=1,1,IF(F57=2,0,0))</f>
        <v/>
      </c>
      <c r="G506" s="24">
        <f>IF(H22=1,1,IF(H22=2,0,0))</f>
        <v/>
      </c>
      <c r="H506" s="24">
        <f>IF(L51=1,1,IF(L51=2,0,0))</f>
        <v/>
      </c>
      <c r="I506" s="24">
        <f>IF(N9=1,1,IF(N9=2,0,0))</f>
        <v/>
      </c>
      <c r="J506" s="24">
        <f>IF(N15=1,1,IF(N15=2,0,0))</f>
        <v/>
      </c>
      <c r="K506" s="24">
        <f>IF(N33=1,1,IF(N33=2,0,0))</f>
        <v/>
      </c>
      <c r="L506" s="24">
        <f>IF(N35=1,1,IF(N35=2,0,0))</f>
        <v/>
      </c>
      <c r="M506" s="24">
        <f>IF(N45=1,1,IF(N45=2,0,0))</f>
        <v/>
      </c>
      <c r="N506" s="24">
        <f>IF(N54=1,1,IF(N54=2,0,0))</f>
        <v/>
      </c>
      <c r="O506" s="24">
        <f>IF(N55=1,1,IF(N55=2,0,0))</f>
        <v/>
      </c>
      <c r="P506" s="24">
        <f>IF(N65=1,1,IF(N65=2,0,0))</f>
        <v/>
      </c>
      <c r="Q506" s="24">
        <f>IF(P11=1,1,IF(P11=2,0,0))</f>
        <v/>
      </c>
      <c r="R506" s="24">
        <f>IF(P15=1,1,IF(P15=2,0,0))</f>
        <v/>
      </c>
      <c r="S506" s="24">
        <f>IF(P16=1,1,IF(P16=2,0,0))</f>
        <v/>
      </c>
      <c r="T506" s="24" t="n"/>
      <c r="U506" s="24" t="n"/>
      <c r="V506" s="24" t="n"/>
      <c r="W506" s="25">
        <f>SUM(C506:V506)</f>
        <v/>
      </c>
      <c r="X506" s="25">
        <f>SUM(W506)</f>
        <v/>
      </c>
      <c r="Y506" s="24" t="n"/>
      <c r="Z506" s="24" t="n"/>
      <c r="AA506" s="24" t="n"/>
      <c r="AB506" s="24" t="n"/>
      <c r="AC506" s="24" t="n"/>
      <c r="AD506" s="24" t="n"/>
      <c r="AE506" s="24" t="n"/>
      <c r="AF506" s="24" t="n"/>
      <c r="AG506" s="24" t="n"/>
    </row>
    <row r="507" ht="12.75" customHeight="1" s="110">
      <c r="C507" s="25" t="inlineStr">
        <is>
          <t>Puntuaciones Típicas</t>
        </is>
      </c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  <c r="AC507" s="24" t="n"/>
      <c r="AD507" s="24" t="n"/>
      <c r="AE507" s="24" t="n"/>
      <c r="AF507" s="24" t="n"/>
      <c r="AG507" s="24" t="n"/>
    </row>
    <row r="508" ht="12.75" customHeight="1" s="110">
      <c r="C508" s="24">
        <f>IF(X506=0,35,IF(X506=1,38,IF(X506=2,41,IF(X506=3,44,IF(X506=4,47,IF(X506=5,50,IF(X506=6,53,IF(X506=7,56,0))))))))</f>
        <v/>
      </c>
      <c r="D508" s="24">
        <f>IF(X506=8,59,IF(X506=9,62,IF(X506=10,65,IF(X506=11,68,IF(X506=12,71,IF(X506=13,74,IF(X506=14,77,IF(X506=15,80,0))))))))</f>
        <v/>
      </c>
      <c r="E508" s="24">
        <f>IF(X506=16,83,IF(X506&gt;=17,86,0))</f>
        <v/>
      </c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5">
        <f>SUM(C508:O508)</f>
        <v/>
      </c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  <c r="AC508" s="24" t="n"/>
      <c r="AD508" s="24" t="n"/>
      <c r="AE508" s="24" t="n"/>
      <c r="AF508" s="24" t="n"/>
      <c r="AG508" s="24" t="n"/>
    </row>
    <row r="509" ht="12.75" customHeight="1" s="110"/>
    <row r="510" ht="12.75" customHeight="1" s="110"/>
    <row r="511" ht="12.75" customHeight="1" s="110">
      <c r="C511" s="25" t="inlineStr">
        <is>
          <t>Items Críticos de Koss - Butcher</t>
        </is>
      </c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5" t="n"/>
      <c r="V511" s="24" t="n"/>
      <c r="W511" s="24" t="n"/>
      <c r="X511" s="24" t="n"/>
    </row>
    <row r="512" ht="12.75" customHeight="1" s="110"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9" t="n"/>
      <c r="V512" s="29" t="n"/>
      <c r="W512" s="29" t="n"/>
      <c r="X512" s="29" t="n"/>
    </row>
    <row r="513" ht="12.75" customHeight="1" s="110">
      <c r="C513" s="25" t="inlineStr">
        <is>
          <t>Estado de Ansiedad Aguda</t>
        </is>
      </c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9" t="n"/>
      <c r="V513" s="29" t="n"/>
      <c r="W513" s="29" t="n"/>
      <c r="X513" s="29" t="n"/>
      <c r="Y513" s="6" t="n"/>
      <c r="Z513" s="6" t="n"/>
    </row>
    <row r="514" ht="12.75" customHeight="1" s="110">
      <c r="C514" s="24">
        <f>IF(D9=1," ",IF(D9=2,"2.- Tengo buen apetito (Falso)"," "))</f>
        <v/>
      </c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9" t="n"/>
      <c r="V514" s="29" t="n"/>
      <c r="W514" s="29" t="n"/>
      <c r="X514" s="24" t="n"/>
    </row>
    <row r="515" ht="12.75" customHeight="1" s="110">
      <c r="C515" s="24">
        <f>IF(D10=1," ",IF(D10=2,"3.- Casi siempre me levanto por las mañanas descansado y como nuevo (Falso)"," "))</f>
        <v/>
      </c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9" t="n"/>
      <c r="V515" s="29" t="inlineStr">
        <is>
          <t xml:space="preserve"> Estos sujetos son desconfiados y suspicaces. Rígidos, tercos y hostiles,  manifiestan una acusada hipersensibilidad y temores referentes a su estado  de salud. A menudo establecen relaciones entre su sensación de malestar  físico y percepciones de hostil</t>
        </is>
      </c>
      <c r="W515" s="24" t="n"/>
      <c r="X515" s="24" t="n"/>
    </row>
    <row r="516" ht="12.75" customHeight="1" s="110">
      <c r="C516" s="24">
        <f>IF(D12=1,"5.-El ruido me despierta fácilmente(Verdadero)",IF(D12=2," "," "))</f>
        <v/>
      </c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9" t="n"/>
      <c r="V516" s="29" t="inlineStr">
        <is>
          <t xml:space="preserve"> Estos sujetos se caracterizan por una elevada tasa de ansiedad, que ocasiona una sintomatología física importante , a través de mecanismos de somatización que transforman los problemas psicológicos en manifestaciones  orgánicas sin que el sujeto sea cons</t>
        </is>
      </c>
      <c r="W516" s="24" t="n"/>
      <c r="X516" s="24" t="n"/>
    </row>
    <row r="517" ht="12.75" customHeight="1" s="110">
      <c r="C517" s="24">
        <f>IF(D17=1," ",IF(D17=2,"10.-Actualmente tengo tanta capacidad de trabajo como antes (Falso)"," "))</f>
        <v/>
      </c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</row>
    <row r="518" ht="12.75" customHeight="1" s="110">
      <c r="C518" s="24">
        <f>IF(D22=1,"15.-Trabajo bajo una tensión muy grande (Verdadero)",IF(D22=2," "," "))</f>
        <v/>
      </c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</row>
    <row r="519" ht="12.75" customHeight="1" s="110">
      <c r="C519" s="24">
        <f>IF(D35=1,"28.-Me molesta el estómago varias veces a la semana (Verdadero)",IF(D35=2," "," "))</f>
        <v/>
      </c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</row>
    <row r="520" ht="12.75" customHeight="1" s="110">
      <c r="C520" s="24">
        <f>IF(D46=1,"39.-Mi sueño es irregular e intranquilo (Verdadero)",IF(D46=2," "," "))</f>
        <v/>
      </c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</row>
    <row r="521" ht="12.75" customHeight="1" s="110">
      <c r="C521" s="24">
        <f>IF(D66=1,"59.-Tengo molestias en la boca del estómago casi a diario (Verdadero)",IF(D66=2," "," "))</f>
        <v/>
      </c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</row>
    <row r="522" ht="12.75" customHeight="1" s="110">
      <c r="C522" s="24">
        <f>IF(H27=1," ",IF(H27=2,"140.-Casi todas las noches me duermo sin ideas o pensamientos preocupantes (Falso)"," "))</f>
        <v/>
      </c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</row>
    <row r="523" ht="12.75" customHeight="1" s="110">
      <c r="C523" s="24">
        <f>IF(H59=1,"172.-Frecuentemente noto que tiemblan mis manos cuando intento hacer algo (Verdadero)",IF(H59=2," "," "))</f>
        <v/>
      </c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</row>
    <row r="524" ht="12.75" customHeight="1" s="110">
      <c r="C524" s="24">
        <f>IF(J35=1," ",IF(J35=2,"208.-Rara vez noto los latidos de mi corazón y pocas veces se me corta la respiración (Falso)"," "))</f>
        <v/>
      </c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</row>
    <row r="525" ht="12.75" customHeight="1" s="110">
      <c r="C525" s="24">
        <f>IF(J45=1,"218.-Tengo periodos de tanta intranquilidad que no puedo estar sentado mucho tiempo en una silla (Verdadero)",IF(J45=2," "," "))</f>
        <v/>
      </c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</row>
    <row r="526" ht="12.75" customHeight="1" s="110">
      <c r="C526" s="24">
        <f>IF(J50=1," ",IF(J50=2,"223.-Creo que no soy más nervioso que la mayoría de la gente (Falso)"," "))</f>
        <v/>
      </c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</row>
    <row r="527" ht="12.75" customHeight="1" s="110">
      <c r="C527" s="24">
        <f>IF(N8=1,"301.-La mayor parte del tiempo me siento preocupado por algo o por alguien (Verdadero)",IF(N8=2," "," "))</f>
        <v/>
      </c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</row>
    <row r="528" ht="12.75" customHeight="1" s="110">
      <c r="C528" s="24">
        <f>IF(R31=1,"444.-Soy una persona con mucha tensión (Verdadero)",IF(R31=2," "," "))</f>
        <v/>
      </c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</row>
    <row r="529" ht="12.75" customHeight="1" s="110">
      <c r="C529" s="24">
        <f>IF(R50=1,"463.-Varias veces a la semana siento como si fuese a suceder algo espantoso (Verdadero)",IF(R50=2," "," "))</f>
        <v/>
      </c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</row>
    <row r="530" ht="12.75" customHeight="1" s="110">
      <c r="C530" s="24">
        <f>IF(R56=1,"469.-A veces siento que estoy al borde de una crisis nerviosa (Verdadero)",IF(R56=2," "," "))</f>
        <v/>
      </c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</row>
    <row r="531" ht="12.75" customHeight="1" s="110"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</row>
    <row r="532" ht="12.75" customHeight="1" s="110">
      <c r="C532" s="25" t="inlineStr">
        <is>
          <t>Ideación Suicida Depresiva</t>
        </is>
      </c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</row>
    <row r="533" ht="12.75" customHeight="1" s="110">
      <c r="C533" s="24">
        <f>IF(D16=1," ",IF(D16=2,"9.-En mi vida diaria hay muchas cosas que me resultan interesantes (Falso)"," "))</f>
        <v/>
      </c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</row>
    <row r="534" ht="12.75" customHeight="1" s="110">
      <c r="C534" s="24">
        <f>IF(D45=1,"38.-He tenido periodos de días, semanas o meses en los que no podía preocuparme por las cosas, porque no tenía ánimos para nada (Verdadero)",IF(D45=2," "," "))</f>
        <v/>
      </c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</row>
    <row r="535" ht="12.75" customHeight="1" s="110">
      <c r="C535" s="24">
        <f>IF(F12=1,"65.- La mayor parte del tiempo me siento triste (Verdadero)",IF(F12=2," "," "))</f>
        <v/>
      </c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</row>
    <row r="536" ht="12.75" customHeight="1" s="110">
      <c r="C536" s="24">
        <f>IF(F18=1,"71.-En la actualidad me es difícil no perder la esperanza de llegar a ser alguien (Verdadero)",IF(F18=2," "," "))</f>
        <v/>
      </c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</row>
    <row r="537" ht="12.75" customHeight="1" s="110">
      <c r="C537" s="24">
        <f>IF(F22=1," ",IF(F22=2,"75.-Normalmente siento que la vida vale la pena vivirla (Falso)"," "))</f>
        <v/>
      </c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</row>
    <row r="538" ht="12.75" customHeight="1" s="110">
      <c r="C538" s="24">
        <f>IF(F39=1,"92.-Parece que no me importa mucho lo que pueda suceder (Verdadero)",IF(F39=2," "," "))</f>
        <v/>
      </c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</row>
    <row r="539" ht="12.75" customHeight="1" s="110">
      <c r="C539" s="24">
        <f>IF(F42=1," ",IF(F42=2,"95.-Casi siempre soy feliz (Falso)"," "))</f>
        <v/>
      </c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</row>
    <row r="540" ht="12.75" customHeight="1" s="110">
      <c r="C540" s="24">
        <f>IF(H17=1,"130.-Ciertamente a veces pienso que soy un inútil (Verdadero)",IF(H17=2," "," "))</f>
        <v/>
      </c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</row>
    <row r="541" ht="12.75" customHeight="1" s="110">
      <c r="C541" s="24">
        <f>IF(H33=1,"146.-Lloro con facilidad (Verdadero)",IF(H33=2," "," "))</f>
        <v/>
      </c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</row>
    <row r="542" ht="12.75" customHeight="1" s="110">
      <c r="C542" s="24">
        <f>IF(J42=1,"215.-Me preocupo mucho por las cosas (Verdadero)",IF(J42=2," "," "))</f>
        <v/>
      </c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</row>
    <row r="543" ht="12.75" customHeight="1" s="110">
      <c r="C543" s="24">
        <f>IF(J60=1,"233.-Me cuesta empezar a hacer cualquier cosa (Verdadero)",IF(J60=2," "," "))</f>
        <v/>
      </c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</row>
    <row r="544" ht="12.75" customHeight="1" s="110">
      <c r="C544" s="24">
        <f>IF(L40=1,"273.-A menudo la vida me resulta difícil (Verdadero)",IF(L40=2," "," "))</f>
        <v/>
      </c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</row>
    <row r="545" ht="12.75" customHeight="1" s="110">
      <c r="C545" s="24">
        <f>IF(N10=1,"303.-Muchísimas veces me gustaría estar muerto (Verdadero)",IF(N10=2," "," "))</f>
        <v/>
      </c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</row>
    <row r="546" ht="12.75" customHeight="1" s="110">
      <c r="C546" s="24">
        <f>IF(N13=1,"306.-Nadie se preocupa mucho por lo que le suceda a otro (Verdadero)",IF(N13=2," "," "))</f>
        <v/>
      </c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</row>
    <row r="547" ht="12.75" customHeight="1" s="110">
      <c r="C547" s="24">
        <f>IF(P35=1," ",IF(P35=2,"388.-Muy rara vez tengo momentos de abatimiento (Falso)"," "))</f>
        <v/>
      </c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</row>
    <row r="548" ht="12.75" customHeight="1" s="110">
      <c r="C548" s="24">
        <f>IF(P58=1,"411.-A veces pienso que no valgo para nada (Verdadero)",IF(P58=2," "," "))</f>
        <v/>
      </c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</row>
    <row r="549" ht="12.75" customHeight="1" s="110">
      <c r="C549" s="24">
        <f>IF(R41=1,"454.-No tengo ninguna esperanza en mi porvenir (Verdadero)",IF(R41=2," "," "))</f>
        <v/>
      </c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</row>
    <row r="550" ht="12.75" customHeight="1" s="110">
      <c r="C550" s="24">
        <f>IF(T12=1,"485.-A menudo siento que no soy tan bueno como otras personas (Verdadero)",IF(T12=2," "," "))</f>
        <v/>
      </c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</row>
    <row r="551" ht="12.75" customHeight="1" s="110">
      <c r="C551" s="24">
        <f>IF(T33=1,"506.-Recientemente he pensado en matarme (Verdadero)",IF(T33=2," "," "))</f>
        <v/>
      </c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</row>
    <row r="552" ht="12.75" customHeight="1" s="110">
      <c r="C552" s="24">
        <f>IF(T45=1,"518.-He cometido bastante errores graves en mi vida (Verdadero)",IF(T45=2," "," "))</f>
        <v/>
      </c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</row>
    <row r="553" ht="12.75" customHeight="1" s="110">
      <c r="C553" s="24">
        <f>IF(T47=1,"520.-Últimamente he estado pensando mucho en suicidarme (Verdadero)",IF(T47=2," "," "))</f>
        <v/>
      </c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</row>
    <row r="554" ht="12.75" customHeight="1" s="110">
      <c r="C554" s="24">
        <f>IF(T51=1,"524.-Nadie lo sabe, pero he intentado suicidarme (Verdadero)",IF(T51=2," "," "))</f>
        <v/>
      </c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</row>
    <row r="555" ht="12.75" customHeight="1" s="110"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</row>
    <row r="556" ht="12.75" customHeight="1" s="110">
      <c r="C556" s="25" t="inlineStr">
        <is>
          <t>Amenazas de Ataque</t>
        </is>
      </c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</row>
    <row r="557" ht="12.75" customHeight="1" s="110">
      <c r="C557" s="24">
        <f>IF(D44=1,"37.-A veces siento deseos de destrozar las cosas (Verdadero)",IF(D44=2," "," "))</f>
        <v/>
      </c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</row>
    <row r="558" ht="12.75" customHeight="1" s="110">
      <c r="C558" s="24">
        <f>IF(F32=1,"85.-A veces siento fuertes deseos de hacer algo dañino o escandaloso (Verdadero)",IF(F32=2," "," "))</f>
        <v/>
      </c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</row>
    <row r="559" ht="12.75" customHeight="1" s="110">
      <c r="C559" s="24">
        <f>IF(H21=1,"134.-A veces siento deseos de liarme a puñetazos con alguien (Verdadero)",IF(H21=2," "," "))</f>
        <v/>
      </c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</row>
    <row r="560" ht="12.75" customHeight="1" s="110">
      <c r="C560" s="24">
        <f>IF(J40=1,"213.-Me enfado fácilmente, pero se me pasa pronto (Verdadero)",IF(J40=2," "," "))</f>
        <v/>
      </c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</row>
    <row r="561" ht="12.75" customHeight="1" s="110">
      <c r="C561" s="24">
        <f>IF(P36=1,"389.-Frecuentemente me dicen que tengo mal genio (Verdadero)",IF(P36=2," "," "))</f>
        <v/>
      </c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</row>
    <row r="562" ht="12.75" customHeight="1" s="110"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</row>
    <row r="563" ht="12.75" customHeight="1" s="110">
      <c r="C563" s="25" t="inlineStr">
        <is>
          <t>Estrés Situacional debido a Alcoholismo</t>
        </is>
      </c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</row>
    <row r="564" ht="12.75" customHeight="1" s="110">
      <c r="C564" s="24">
        <f>IF(H12=1," ",IF(H12=2,"125.-Creo que mi vida hogareña es tan agradable como la de la mayoría de la gente que conozco (Falso)"," "))</f>
        <v/>
      </c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</row>
    <row r="565" ht="12.75" customHeight="1" s="110">
      <c r="C565" s="24">
        <f>IF(L31=1,"264.-He abusado de bebidas alcohólicas (Verdadero)",IF(L31=2," "," "))</f>
        <v/>
      </c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</row>
    <row r="566" ht="12.75" customHeight="1" s="110">
      <c r="C566" s="24">
        <f>IF(T14=1,"487.-He disfrutado tomando drogas (Verdadero)",IF(T14=2," "," "))</f>
        <v/>
      </c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</row>
    <row r="567" ht="12.75" customHeight="1" s="110">
      <c r="C567" s="24">
        <f>IF(T16=1,"489.-Tengo problemas con las drogas o con el alcohol (Verdadero)",IF(T16=2," "," "))</f>
        <v/>
      </c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</row>
    <row r="568" ht="12.75" customHeight="1" s="110">
      <c r="C568" s="24">
        <f>IF(T29=1,"502.-Tengo algunos hábitos que me hacen daño realmente (Verdadero)",IF(T29=2," "," "))</f>
        <v/>
      </c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</row>
    <row r="569" ht="12.75" customHeight="1" s="110">
      <c r="C569" s="24">
        <f>IF(T38=1,"511.-Una vez por semana, o con más frecuencia, me suelo emborrachar o drogar (Verdadero)",IF(T38=2," "," "))</f>
        <v/>
      </c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</row>
    <row r="570" ht="12.75" customHeight="1" s="110">
      <c r="C570" s="24">
        <f>IF(T45=1,"518.-He cometido bastantes errores graves en mi vida (Verdadero)",IF(T45=2," "," "))</f>
        <v/>
      </c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</row>
    <row r="571" ht="12.75" customHeight="1" s="110"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</row>
    <row r="572" ht="12.75" customHeight="1" s="110">
      <c r="C572" s="25" t="inlineStr">
        <is>
          <t>Confusión Mental</t>
        </is>
      </c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</row>
    <row r="573" ht="12.75" customHeight="1" s="110">
      <c r="C573" s="24">
        <f>IF(D31=1,"24.-A veces estoy poseido por espíritus diabólicos (Verdadero)",IF(D31=2," "," "))</f>
        <v/>
      </c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</row>
    <row r="574" ht="12.75" customHeight="1" s="110">
      <c r="C574" s="24">
        <f>IF(D38=1,"31.-Me cuesta bastante concentrarme en una tarea o trabajo (Verdadero)",IF(D38=2," "," "))</f>
        <v/>
      </c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</row>
    <row r="575" ht="12.75" customHeight="1" s="110">
      <c r="C575" s="24">
        <f>IF(D39=1,"32.-He tenido muy peculiares y extrañas experiencias (Verdadero)",IF(D39=2," "," "))</f>
        <v/>
      </c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</row>
    <row r="576" ht="12.75" customHeight="1" s="110">
      <c r="C576" s="24">
        <f>IF(F19=1,"72.-A veces mi alma abandona mi cuerpo (Verdadero)",IF(F19=2," "," "))</f>
        <v/>
      </c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</row>
    <row r="577" ht="12.75" customHeight="1" s="110">
      <c r="C577" s="24">
        <f>IF(F43=1,"96.-Veo a mi alrededor cosas, animales o personas que otros no ven (Verdadero)",IF(F43=2," "," "))</f>
        <v/>
      </c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</row>
    <row r="578" ht="12.75" customHeight="1" s="110">
      <c r="C578" s="24">
        <f>IF(H67=1,"180.-Algo no marcha bien en mi cabeza (Verdadero)",IF(H67=2," "," "))</f>
        <v/>
      </c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</row>
    <row r="579" ht="12.75" customHeight="1" s="110">
      <c r="C579" s="24">
        <f>IF(J25=1,"198.-A menudo oigo voces sin saber de donde vienen (Verdadero)",IF(J25=2," "," "))</f>
        <v/>
      </c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</row>
    <row r="580" ht="12.75" customHeight="1" s="110">
      <c r="C580" s="24">
        <f>IF(L66=1,"299.-No puedo concentrarme en una sola cosa (Verdadero)",IF(L66=2," "," "))</f>
        <v/>
      </c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</row>
    <row r="581" ht="12.75" customHeight="1" s="110">
      <c r="C581" s="24">
        <f>IF(N18=1,"311.-Con frecuencia siento como si las cosas no fueran reales (Verdadero)",IF(N18=2," "," "))</f>
        <v/>
      </c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</row>
    <row r="582" ht="12.75" customHeight="1" s="110">
      <c r="C582" s="24">
        <f>IF(N23=1,"316.-Tengo pensamientos extraños y raros (Verdadero)",IF(N23=2," "," "))</f>
        <v/>
      </c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</row>
    <row r="583" ht="12.75" customHeight="1" s="110">
      <c r="C583" s="24">
        <f>IF(N32=1,"325.-Es más difícil para mi concentrarme de lo que parece ser para otras personas (Verdadero)",IF(N32=2," "," "))</f>
        <v/>
      </c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</row>
    <row r="584" ht="12.75" customHeight="1" s="110"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</row>
    <row r="585" ht="12.75" customHeight="1" s="110">
      <c r="C585" s="25" t="inlineStr">
        <is>
          <t>Ideas Persecutorias</t>
        </is>
      </c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</row>
    <row r="586" ht="12.75" customHeight="1" s="110">
      <c r="C586" s="24">
        <f>IF(D24=1,"17.-Estoy seguro de que la vida es dura para mi (Verdadero)",IF(D24=2," "," "))</f>
        <v/>
      </c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</row>
    <row r="587" ht="12.75" customHeight="1" s="110">
      <c r="C587" s="24">
        <f>IF(D49=1,"42.-Si los demás no la hubieran tomado conmigo, habría tenido más éxito (Verdadero)",IF(D49=2," "," "))</f>
        <v/>
      </c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</row>
    <row r="588" ht="12.75" customHeight="1" s="110">
      <c r="C588" s="24">
        <f>IF(F46=1,"99.-Alguien me la tiene jurada (Verdadero)",IF(F46=2," "," "))</f>
        <v/>
      </c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</row>
    <row r="589" ht="12.75" customHeight="1" s="110">
      <c r="C589" s="24">
        <f>IF(H11=1,"124.-Generalmente me pregunto qué razón oculta puede tener otra persona cuando me hace un favor (Verdadero)",IF(H11=2," "," "))</f>
        <v/>
      </c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</row>
    <row r="590" ht="12.75" customHeight="1" s="110">
      <c r="C590" s="24">
        <f>IF(H25=1,"138.-Creo que están tramando algo contra mi (Verdadero)",IF(H25=2," "," "))</f>
        <v/>
      </c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</row>
    <row r="591" ht="12.75" customHeight="1" s="110">
      <c r="C591" s="24">
        <f>IF(H31=1,"144.-Creo que me están persiguiendo (Verdadero)",IF(H31=2," "," "))</f>
        <v/>
      </c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</row>
    <row r="592" ht="12.75" customHeight="1" s="110">
      <c r="C592" s="24">
        <f>IF(H32=1,"145.-Creo que frecuentemente he sido castigado sin motivo alguno (Verdadero)",IF(H32=2," "," "))</f>
        <v/>
      </c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</row>
    <row r="593" ht="12.75" customHeight="1" s="110">
      <c r="C593" s="24">
        <f>IF(H49=1,"162.-Alguien ha estado intentando envenenarme (Verdadero)",IF(H49=2," "," "))</f>
        <v/>
      </c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</row>
    <row r="594" ht="12.75" customHeight="1" s="110">
      <c r="C594" s="24">
        <f>IF(J43=1,"216.-Alguien ha estado intentando robarme (Verdadero)",IF(J43=2," "," "))</f>
        <v/>
      </c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</row>
    <row r="595" ht="12.75" customHeight="1" s="110">
      <c r="C595" s="24">
        <f>IF(J55=1,"228.-Hay personas que han estado intentando apoderarse de mis pensamientos e ideas (Verdadero)",IF(J55=2," "," "))</f>
        <v/>
      </c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</row>
    <row r="596" ht="12.75" customHeight="1" s="110">
      <c r="C596" s="24">
        <f>IF(L8=1,"241.-Es más seguro no confiar en nadie (Verdadero)",IF(L8=2," "," "))</f>
        <v/>
      </c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</row>
    <row r="597" ht="12.75" customHeight="1" s="110">
      <c r="C597" s="24">
        <f>IF(L18=1,"251.-A menudo me ha dado la sensación de que gente extraña me estaba mirando con ojos críticos (Verdadero)",IF(L18=2," "," "))</f>
        <v/>
      </c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</row>
    <row r="598" ht="12.75" customHeight="1" s="110">
      <c r="C598" s="24">
        <f>IF(L26=1,"259.-Estoy seguro de que la gente habla de mí (Verdadero)",IF(L26=2," "," "))</f>
        <v/>
      </c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</row>
    <row r="599" ht="12.75" customHeight="1" s="110">
      <c r="C599" s="24">
        <f>IF(N21=1," ",IF(N21=2,"314.-No tengo enemigos que deseen realmente hacerme daño (Falso)"," "))</f>
        <v/>
      </c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</row>
    <row r="600" ht="12.75" customHeight="1" s="110">
      <c r="C600" s="24">
        <f>IF(N40=1,"333.-La gente dice cosas ofensivas y vulgares de mi (Verdadero)",IF(N40=2," "," "))</f>
        <v/>
      </c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</row>
    <row r="601" ht="12.75" customHeight="1" s="110">
      <c r="C601" s="24">
        <f>IF(P8=1,"361.-Alguien ha tratado de influir en mi mente (Verdadero)",IF(P8=2," "," "))</f>
        <v/>
      </c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</row>
    <row r="602" ht="12.75" customHeight="1" s="110"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</row>
    <row r="603" ht="12.75" customHeight="1" s="110">
      <c r="C603" s="25" t="inlineStr">
        <is>
          <t>Items Críticos de Lachar-Wrobel</t>
        </is>
      </c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</row>
    <row r="604" ht="12.75" customHeight="1" s="110">
      <c r="C604" s="25" t="inlineStr">
        <is>
          <t>Ansiedad y Tensión</t>
        </is>
      </c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</row>
    <row r="605" ht="12.75" customHeight="1" s="110">
      <c r="C605" s="24">
        <f>IF(D22=1,"15.-Trabajo bajo una tensión muy grande (Verdadero)",IF(D22=2," "," "))</f>
        <v/>
      </c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</row>
    <row r="606" ht="12.75" customHeight="1" s="110">
      <c r="C606" s="24">
        <f>IF(D24=1,"17.-Estoy seguro de que la vida es dura para mi (Verdadero)",IF(D24=2," "," "))</f>
        <v/>
      </c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</row>
    <row r="607" ht="12.75" customHeight="1" s="110">
      <c r="C607" s="24">
        <f>IF(H59=1,"172.-Frecuentemente noto que tiemblan mis manos cuando intento hacer algo (Verdadero)",IF(H59=2," "," "))</f>
        <v/>
      </c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</row>
    <row r="608" ht="12.75" customHeight="1" s="110">
      <c r="C608" s="24">
        <f>IF(J45=1,"218.-Tengo periodos de tanta intranquilidad que no puedo estar sentado mucho tiempo en una silla (Verdadero)",IF(J45=2," "," "))</f>
        <v/>
      </c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</row>
    <row r="609" ht="12.75" customHeight="1" s="110">
      <c r="C609" s="24">
        <f>IF(J50=1," ",IF(J50=2,"223.-Creo que no soy más nervioso que la mayoría de la gente (Falso)"," "))</f>
        <v/>
      </c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</row>
    <row r="610" ht="12.75" customHeight="1" s="110">
      <c r="C610" s="24">
        <f>IF(L28=1," ",IF(L28=2,"261.-Comparado con mis amigos, tengo pocos miedos (Falso)"," "))</f>
        <v/>
      </c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</row>
    <row r="611" ht="12.75" customHeight="1" s="110">
      <c r="C611" s="24">
        <f>IF(L66=1,"299.-No puedo concentrarme en una sola cosa (Verdadero)",IF(L66=2," "," "))</f>
        <v/>
      </c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</row>
    <row r="612" ht="12.75" customHeight="1" s="110">
      <c r="C612" s="24">
        <f>IF(N8=1,"301.-La mayor parte del tiempo me siento preocupado por algo o alguien (Verdadero)",IF(N8=2," "," "))</f>
        <v/>
      </c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</row>
    <row r="613" ht="12.75" customHeight="1" s="110">
      <c r="C613" s="24">
        <f>IF(N27=1,"320.-He tenido miedo de cosas o personas que sabía que no podían hacerme daño (Verdadero)",IF(N27=2," "," "))</f>
        <v/>
      </c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</row>
    <row r="614" ht="12.75" customHeight="1" s="110">
      <c r="C614" s="24">
        <f>IF(P52=1," ",IF(P52=2,"405.-Normalmente soy una persona tranquila y no me altero fácilmente (Falso)"," "))</f>
        <v/>
      </c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</row>
    <row r="615" ht="12.75" customHeight="1" s="110">
      <c r="C615" s="24">
        <f>IF(R50=1,"463.-Varias veces a la semana siento como si fuese a suceder algo espantoso (Verdadero)",IF(R50=2," "," "))</f>
        <v/>
      </c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</row>
    <row r="616" ht="12.75" customHeight="1" s="110"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</row>
    <row r="617" ht="12.75" customHeight="1" s="110">
      <c r="C617" s="25" t="inlineStr">
        <is>
          <t>Depresión y Preocupación</t>
        </is>
      </c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</row>
    <row r="618" ht="12.75" customHeight="1" s="110">
      <c r="C618" s="24">
        <f>IF(D9=1," ",IF(D9=2,"2.-Tengo buen apetito (Falso)"," "))</f>
        <v/>
      </c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</row>
    <row r="619" ht="12.75" customHeight="1" s="110">
      <c r="C619" s="24">
        <f>IF(D10=1," ",IF(D10=2,"3.-Casi siempre me levanto por las mañanas descansado y como nuevo (Falso)"," "))</f>
        <v/>
      </c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</row>
    <row r="620" ht="12.75" customHeight="1" s="110">
      <c r="C620" s="24">
        <f>IF(D17=1," ",IF(D17=2,"10.-Actualmente tengo tanta capacidad de trabajo como antes (Falso)"," "))</f>
        <v/>
      </c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</row>
    <row r="621" ht="12.75" customHeight="1" s="110">
      <c r="C621" s="24">
        <f>IF(F12=1,"65.-La mayor parte del tiempo me siento triste (Verdadero)",IF(F12=2," "," "))</f>
        <v/>
      </c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</row>
    <row r="622" ht="12.75" customHeight="1" s="110">
      <c r="C622" s="24">
        <f>IF(F20=1,"73.-Sin duda alguna no tengo confianza en mi mismo (Verdadero)",IF(F20=2," "," "))</f>
        <v/>
      </c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</row>
    <row r="623" ht="12.75" customHeight="1" s="110">
      <c r="C623" s="24">
        <f>IF(F22=1," ",IF(F22=2,"75.-Normalmente siento que la vida vale la pena vivirla (Falso)"," "))</f>
        <v/>
      </c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</row>
    <row r="624" ht="12.75" customHeight="1" s="110">
      <c r="C624" s="24">
        <f>IF(H17=1,"130.-Ciertamente a veces siento que soy un inútil (Verdadero)",IF(H17=2," "))</f>
        <v/>
      </c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</row>
    <row r="625" ht="12.75" customHeight="1" s="110">
      <c r="C625" s="24">
        <f>IF(H37=1,"150.-Algunas veces siento deseos de hacer daño, a alguien o a mi mismo (Verdadero)",IF(H37=2," "))</f>
        <v/>
      </c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</row>
    <row r="626" ht="12.75" customHeight="1" s="110">
      <c r="C626" s="24">
        <f>IF(H52=1," ",IF(H52=2,"165.-Mi memoria parece estar en buenas condiciones (Falso)"," "))</f>
        <v/>
      </c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</row>
    <row r="627" ht="12.75" customHeight="1" s="110">
      <c r="C627" s="24">
        <f>IF(H67=1,"180.-Algo no marcha bien en mi cabeza (Verdadero)",IF(H67=2," "))</f>
        <v/>
      </c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</row>
    <row r="628" ht="12.75" customHeight="1" s="110">
      <c r="C628" s="24">
        <f>IF(L40=1,"273.-A menudo la vida me resulta difícil (Verdadero)",IF(L40=2," "," "))</f>
        <v/>
      </c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</row>
    <row r="629" ht="12.75" customHeight="1" s="110">
      <c r="C629" s="24">
        <f>IF(N10=1,"303.-Muchísimas veces me gustaría estar muerto (Verdadero)",IF(N10=2," "," "))</f>
        <v/>
      </c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</row>
    <row r="630" ht="12.75" customHeight="1" s="110">
      <c r="C630" s="24">
        <f>IF(N46=1,"339.-A veces he sentido que las dificultades me abrumaban hasta tal punto que no podía superarlas (Verdadero)",IF(N46=2," "," "))</f>
        <v/>
      </c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</row>
    <row r="631" ht="12.75" customHeight="1" s="110">
      <c r="C631" s="24">
        <f>IF(P58=1,"411.-A veces pienso que no valgo para nada (Verdadero)",IF(P58=2," "," "))</f>
        <v/>
      </c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</row>
    <row r="632" ht="12.75" customHeight="1" s="110">
      <c r="C632" s="24">
        <f>IF(P62=1,"415.-Me preocupo mucho por posibles desgracias (Verdadero)",IF(P62=2," "," "))</f>
        <v/>
      </c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</row>
    <row r="633" ht="12.75" customHeight="1" s="110">
      <c r="C633" s="24">
        <f>IF(R41=1,"454.-No tengo ninguna esperanza en mi porvenir (Verdadero)",IF(R41=2," "," "))</f>
        <v/>
      </c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</row>
    <row r="634" ht="12.75" customHeight="1" s="110"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</row>
    <row r="635" ht="12.75" customHeight="1" s="110">
      <c r="C635" s="25" t="inlineStr">
        <is>
          <t>Trastornos del Sueño</t>
        </is>
      </c>
      <c r="D635" s="24" t="n"/>
      <c r="E635" s="24" t="n"/>
      <c r="F635" s="24" t="n"/>
      <c r="G635" s="24" t="n"/>
      <c r="H635" s="24" t="inlineStr">
        <is>
          <t xml:space="preserve">               </t>
        </is>
      </c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</row>
    <row r="636" ht="12.75" customHeight="1" s="110">
      <c r="C636" s="24">
        <f>IF(D12=1,"5.-El ruido me despierta fácilmente (Verdadero)",IF(D12=2," "," "))</f>
        <v/>
      </c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</row>
    <row r="637" ht="12.75" customHeight="1" s="110">
      <c r="C637" s="24">
        <f>IF(D37=1,"30.-A menudo tengo pesadillas nocturnas (Verdadero)",IF(D37=2," "," "))</f>
        <v/>
      </c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</row>
    <row r="638" ht="12.75" customHeight="1" s="110">
      <c r="C638" s="24">
        <f>IF(D46=1,"39.-Mi sueño es irregular e intranquilo (Verdadero)",IF(D46=2," "," "))</f>
        <v/>
      </c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</row>
    <row r="639" ht="12.75" customHeight="1" s="110">
      <c r="C639" s="24">
        <f>IF(H27=1," ",IF(H27=2,"140.-Casi todas las noches me duermo sin ideas o pensamientos preocupantes (Falso)"," "))</f>
        <v/>
      </c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</row>
    <row r="640" ht="12.75" customHeight="1" s="110">
      <c r="C640" s="24">
        <f>IF(N35=1,"328.-Algunas veces me ronda por la cabeza un pensamiento sin importancia y me molesta durante días (Verdadero)",IF(N35=2," "," "))</f>
        <v/>
      </c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</row>
    <row r="641" ht="12.75" customHeight="1" s="110">
      <c r="C641" s="24">
        <f>IF(R58=1,"471.-A menudo he sentido miedo durante la noche (Verdadero)",IF(R58=2," "," "))</f>
        <v/>
      </c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</row>
    <row r="642" ht="12.75" customHeight="1" s="110">
      <c r="C642" s="25" t="inlineStr">
        <is>
          <t>Creencias erróneas</t>
        </is>
      </c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</row>
    <row r="643" ht="12.75" customHeight="1" s="110">
      <c r="C643" s="24">
        <f>IF(D49=1,"42.-Si los demás no la hubieran tomado conmigo, habría tenido más éxito (Verdadero)",IF(D49=2," "," "))</f>
        <v/>
      </c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</row>
    <row r="644" ht="12.75" customHeight="1" s="110">
      <c r="C644" s="24">
        <f>IF(F46=1,"99.-alguien me la tiene jurada (Verdadero)",IF(F46=2," "," "))</f>
        <v/>
      </c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</row>
    <row r="645" ht="12.75" customHeight="1" s="110">
      <c r="C645" s="24">
        <f>IF(F53=1," ",IF(F53=2,"106.-Mi manera de hablar es como siempre (ni más rápida, ni más lenta, ni balbuceante, ni ronca) (Falso)"," "))</f>
        <v/>
      </c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</row>
    <row r="646" ht="12.75" customHeight="1" s="110">
      <c r="C646" s="24">
        <f>IF(H25=1,"138.-Creo que están tramando algo contra mi (Verdadero)",IF(H25=2," "," "))</f>
        <v/>
      </c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</row>
    <row r="647" ht="12.75" customHeight="1" s="110">
      <c r="C647" s="24">
        <f>IF(H31=1,"144.-Creo que me están persiguiendo (Verdadero)",IF(H31=2," "," "))</f>
        <v/>
      </c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</row>
    <row r="648" ht="12.75" customHeight="1" s="110">
      <c r="C648" s="24">
        <f>IF(H49=1,"162.-Alguien ha estado intentando envenenarme (Verdadero)",IF(H39=2," "," "))</f>
        <v/>
      </c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</row>
    <row r="649" ht="12.75" customHeight="1" s="110">
      <c r="C649" s="24">
        <f>IF(J43=1,"216.-Alguien ha estado intentado robarme (Verdadero)",IF(J43=2," "," "))</f>
        <v/>
      </c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</row>
    <row r="650" ht="12.75" customHeight="1" s="110">
      <c r="C650" s="24">
        <f>IF(J55=1,"228.-Hay personas que están intentando apoderarse de mis pensamientos e ideas (Verdadero)",IF(J55=2," "," "))</f>
        <v/>
      </c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</row>
    <row r="651" ht="12.75" customHeight="1" s="110">
      <c r="C651" s="24">
        <f>IF(L26=1,"259.-Estoy seguro de que la gente habla de mi (Verdadero)",IF(L26=2," "," "))</f>
        <v/>
      </c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</row>
    <row r="652" ht="12.75" customHeight="1" s="110">
      <c r="C652" s="24">
        <f>IF(N21=1," ",IF(N21=2,"314.-No tengo enemigos que deseen realmente hacerme daño (Falso)"," "))</f>
        <v/>
      </c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</row>
    <row r="653" ht="12.75" customHeight="1" s="110">
      <c r="C653" s="24">
        <f>IF(N40=1,"333.-La gente dice cosas ofensivas y vulgares de mi (Verdadero)",IF(N40=2," "," "))</f>
        <v/>
      </c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</row>
    <row r="654" ht="12.75" customHeight="1" s="110">
      <c r="C654" s="24">
        <f>IF(N43=1,"336.-Alguien controla mi mente (Verdadero)",IF(N43=2," "," "))</f>
        <v/>
      </c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</row>
    <row r="655" ht="12.75" customHeight="1" s="110">
      <c r="C655" s="24">
        <f>IF(N62=1,"355.-Una o más veces en mi vida he sentido que alguien, hipnotizándome, me obligaba a hacer algo (Verdadero)",IF(N62=2," "," "))</f>
        <v/>
      </c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</row>
    <row r="656" ht="12.75" customHeight="1" s="110">
      <c r="C656" s="24">
        <f>IF(P8=1,"361.-Alguien ha tratado de influir en mi mente (Verdadero)",IF(P8=2," "," "))</f>
        <v/>
      </c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</row>
    <row r="657" ht="12.75" customHeight="1" s="110">
      <c r="C657" s="24">
        <f>IF(R53=1,"466.-Algunas veces estoy seguro de que los demás pueden saber lo que estoy pensando (Verdadero)",IF(R53=2," "," "))</f>
        <v/>
      </c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</row>
    <row r="658" ht="12.75" customHeight="1" s="110"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</row>
    <row r="659" ht="12.75" customHeight="1" s="110">
      <c r="C659" s="25" t="inlineStr">
        <is>
          <t>Pensamientos y Experiencias erróneas</t>
        </is>
      </c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</row>
    <row r="660" ht="12.75" customHeight="1" s="110">
      <c r="C660" s="24">
        <f>IF(D39=1,"32.-He tenido muy peculiares y extrañas experiencias (Verdadero)",IF(D39=2," "," "))</f>
        <v/>
      </c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</row>
    <row r="661" ht="12.75" customHeight="1" s="110">
      <c r="C661" s="24">
        <f>IF(D67=1,"60.-Cuando estoy con gente me molesta oir cosas muy extrañas (Verdadero)",IF(D67=2," "," "))</f>
        <v/>
      </c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</row>
    <row r="662" ht="12.75" customHeight="1" s="110">
      <c r="C662" s="24">
        <f>IF(F43=1,"96.-Veo a mi alrededor cosas, animales o personas que otros no ven (Verdadero)",IF(F43=2," "," "))</f>
        <v/>
      </c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</row>
    <row r="663" ht="12.75" customHeight="1" s="110">
      <c r="C663" s="24">
        <f>IF(H9=1,"122.-A veces mis pensamientos han ido más deprisa y por delante de mis palabras (Verdadero)",IF(H9=2," "," "))</f>
        <v/>
      </c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</row>
    <row r="664" ht="12.75" customHeight="1" s="110">
      <c r="C664" s="24">
        <f>IF(J25=1,"198.-A menudo oigo voces sin saber de donde vienen (Verdadero)",IF(J25=2," "," "))</f>
        <v/>
      </c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</row>
    <row r="665" ht="12.75" customHeight="1" s="110">
      <c r="C665" s="24">
        <f>IF(L65=1,"298.-A veces percibo olores muy raros (Verdadero)",IF(L65=2," "," "))</f>
        <v/>
      </c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</row>
    <row r="666" ht="12.75" customHeight="1" s="110">
      <c r="C666" s="24">
        <f>IF(N14=1,"307.-A veces oigo tan bien que me llega a molestar (Verdadero)",IF(N14=2," "," "))</f>
        <v/>
      </c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</row>
    <row r="667" ht="12.75" customHeight="1" s="110">
      <c r="C667" s="24">
        <f>IF(N23=1,"316.-Tengo pensamientos extraños y raros (Verdadero)",IF(N23=2," "," "))</f>
        <v/>
      </c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</row>
    <row r="668" ht="12.75" customHeight="1" s="110">
      <c r="C668" s="24">
        <f>IF(N26=1,"319.-Oigo cosas extrañas cuando estoy solo (Verdadero)",IF(N26=2," "," "))</f>
        <v/>
      </c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</row>
    <row r="669" ht="12.75" customHeight="1" s="110">
      <c r="C669" s="24">
        <f>IF(R14=1," ",IF(R14=2,"427.-Nunca he tenido visiones (Falso)"," "))</f>
        <v/>
      </c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</row>
    <row r="670" ht="12.75" customHeight="1" s="110"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</row>
    <row r="671" ht="12.75" customHeight="1" s="110">
      <c r="C671" s="25" t="inlineStr">
        <is>
          <t>Abuso de sustancias</t>
        </is>
      </c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</row>
    <row r="672" ht="12.75" customHeight="1" s="110">
      <c r="C672" s="24">
        <f>IF(H55=1,"168.-He tenido épocas durante las cuales he realizado actividades que luego no recordaba haberlas hecho (Verdadero)",IF(H55=2," "," "))</f>
        <v/>
      </c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</row>
    <row r="673" ht="12.75" customHeight="1" s="110">
      <c r="C673" s="24">
        <f>IF(L31=1,"264.-He abusado de bebidas alcohólicas (Verdadero)",IF(L31=2," "," "))</f>
        <v/>
      </c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</row>
    <row r="674" ht="12.75" customHeight="1" s="110">
      <c r="C674" s="24">
        <f>IF(R16=1," ",IF(R16=2,"429.-Nunca tomo drogas o pastillas para dormir, a no ser por orden del médico (Falso)"," "))</f>
        <v/>
      </c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</row>
    <row r="675" ht="12.75" customHeight="1" s="110"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</row>
    <row r="676" ht="12.75" customHeight="1" s="110">
      <c r="C676" s="25" t="inlineStr">
        <is>
          <t>Actitud Antisocial</t>
        </is>
      </c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</row>
    <row r="677" ht="12.75" customHeight="1" s="110">
      <c r="C677" s="24">
        <f>IF(D34=1,"27.-Cuando alguien me hace una faena, siento deseos de devolvérsela; y esto, por cuestión de principios (Verdadero)",IF(D34=2," "," "))</f>
        <v/>
      </c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</row>
    <row r="678" ht="12.75" customHeight="1" s="110">
      <c r="C678" s="24">
        <f>IF(D42=1,"35.-En algunas ocasiones, cuando era joven, robé algunas cosas (Verdadero)",IF(D42=2," "," "))</f>
        <v/>
      </c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</row>
    <row r="679" ht="12.75" customHeight="1" s="110">
      <c r="C679" s="24">
        <f>IF(F31=1,"84.-Cuando era joven me echaron de clase una o más veces por mi mal comportamiento (Verdadero)",IF(F31=2," "," "))</f>
        <v/>
      </c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</row>
    <row r="680" ht="12.75" customHeight="1" s="110">
      <c r="C680" s="24">
        <f>IF(F52=1,"105.-En el colegio, algunas veces, fui enviado al director a causa de mi mal comportamiento (Verdadero)",IF(F52=2," "," "))</f>
        <v/>
      </c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</row>
    <row r="681" ht="12.75" customHeight="1" s="110">
      <c r="C681" s="24">
        <f>IF(J54=1,"227.-No culpo a nadie por tratar de apoderarse de todo lo que pueda en este mundo (Verdadero)",IF(J54=2," "," "))</f>
        <v/>
      </c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9" t="n"/>
      <c r="Y681" s="6" t="n"/>
      <c r="Z681" s="6" t="n"/>
    </row>
    <row r="682" ht="12.75" customHeight="1" s="110">
      <c r="C682" s="24">
        <f>IF(J67=1,"240.-A veces no he podio evitar el robar algo o llevarme algo de una tienda (Verdadero)",IF(J67=2," "," "))</f>
        <v/>
      </c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</row>
    <row r="683" ht="12.75" customHeight="1" s="110">
      <c r="C683" s="24">
        <f>IF(L21=1,"254.-La mayor parte de la gente hace amigos porque es probable que le sean útiles (Verdadero)",IF(L21=2," "," "))</f>
        <v/>
      </c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</row>
    <row r="684" ht="12.75" customHeight="1" s="110">
      <c r="C684" s="24">
        <f>IF(L33=1," ",IF(L33=2,"266.-Nunca he tenido problemas con la ley (Falso)"," "))</f>
        <v/>
      </c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</row>
    <row r="685" ht="12.75" customHeight="1" s="110">
      <c r="C685" s="24">
        <f>IF(N31=1,"324.-Fácilmente puedo atemorizar a la gente, y a veces lo hago por diversión (Verdadero)",IF(N31=2," "," "))</f>
        <v/>
      </c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</row>
    <row r="686" ht="12.75" customHeight="1" s="110"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</row>
    <row r="687" ht="12.75" customHeight="1" s="110">
      <c r="C687" s="25" t="inlineStr">
        <is>
          <t>Conflictiva Familiar</t>
        </is>
      </c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</row>
    <row r="688" ht="12.75" customHeight="1" s="110">
      <c r="C688" s="24">
        <f>IF(D28=1,"21.-A veces he deseado muchísimo abandonar el hogar (Verdadero)",IF(D28=2," "," "))</f>
        <v/>
      </c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</row>
    <row r="689" ht="12.75" customHeight="1" s="110">
      <c r="C689" s="24">
        <f>IF(F30=1," ",IF(F30=2,"83.-Tengo muy pocos disgustos con los miembros de mi familiar (Falso)"," "))</f>
        <v/>
      </c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</row>
    <row r="690" ht="12.75" customHeight="1" s="110">
      <c r="C690" s="24">
        <f>IF(H12=1," ",IF(H12=2,"125.-Creo que mi vida hogareña es tan agradable como la de la mayoría de la gente que conozco (Falso)"," "))</f>
        <v/>
      </c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</row>
    <row r="691" ht="12.75" customHeight="1" s="110">
      <c r="C691" s="24">
        <f>IF(L55=1,"288.-Mis padres y familiares encuentran más defectos en mí de los que debieran (Verdadero)",IF(L55=2," "," "))</f>
        <v/>
      </c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</row>
    <row r="692" ht="12.75" customHeight="1" s="110"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</row>
    <row r="693" ht="12.75" customHeight="1" s="110">
      <c r="C693" s="25" t="inlineStr">
        <is>
          <t>Enfado Problemático</t>
        </is>
      </c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</row>
    <row r="694" ht="12.75" customHeight="1" s="110">
      <c r="C694" s="24">
        <f>IF(F32=1,"85.-A veces siento fuertes deseos de hacer algo dañino o escandaloso (Verdad)",IF(F32=2," "," "))</f>
        <v/>
      </c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</row>
    <row r="695" ht="12.75" customHeight="1" s="110">
      <c r="C695" s="24">
        <f>IF(H21=1,"134.-A veces siento deseos de liarme a puñetazos con alguien (Verdadero)",IF(H21=2," "," "))</f>
        <v/>
      </c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</row>
    <row r="696" ht="12.75" customHeight="1" s="110">
      <c r="C696" s="24">
        <f>IF(J40=1,"213.-Me enfado fácilmente, pero se me pasa pronto (Verdadero)",IF(J40=2," "," "))</f>
        <v/>
      </c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</row>
    <row r="697" ht="12.75" customHeight="1" s="110">
      <c r="C697" s="24">
        <f>IF(P36=1,"389.-Frecuentemente me dicen que tengo mal genio (Verdadero)",IF(P36=2," "," "))</f>
        <v/>
      </c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</row>
    <row r="698" ht="12.75" customHeight="1" s="110"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</row>
    <row r="699" ht="12.75" customHeight="1" s="110">
      <c r="C699" s="25" t="inlineStr">
        <is>
          <t>Preocupaciones y desviaciones sexuales</t>
        </is>
      </c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</row>
    <row r="700" ht="12.75" customHeight="1" s="110">
      <c r="C700" s="24">
        <f>IF(D19=1," ",IF(D19=2,"12.-Mi vida sexual es satisfactoria (Falso)"," "))</f>
        <v/>
      </c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</row>
    <row r="701" ht="12.75" customHeight="1" s="110">
      <c r="C701" s="24">
        <f>IF(D41=1," ",IF(D41=2,"34.-Nunca he tenido dificultades a causa de mi conducta sexual (Falso)"," "))</f>
        <v/>
      </c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</row>
    <row r="702" ht="12.75" customHeight="1" s="110">
      <c r="C702" s="24">
        <f>IF(F9=1,"62.-A menudo he deseado ser mujer, ( o si usted es mujer) nunca me ha pesado ser mujer (Verdadero-varones)",IF(F9=2,"62.-A menudo he desado ser mujer, (o si usted es mujer) nunca me ha pesado ser mujer (Falso-mujeres)"," "))</f>
        <v/>
      </c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</row>
    <row r="703" ht="12.75" customHeight="1" s="110">
      <c r="C703" s="24">
        <f>IF(H8=1," ",IF(H8=2,"121.-Nunca me he entregado a prácticas sexuales fuera de lo común (Falso)"," "))</f>
        <v/>
      </c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</row>
    <row r="704" ht="12.75" customHeight="1" s="110">
      <c r="C704" s="24">
        <f>IF(H53=1,"166.-Me preocupan los temas sexuales (Verdadero)",IF(H53=2," "," "))</f>
        <v/>
      </c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</row>
    <row r="705" ht="12.75" customHeight="1" s="110">
      <c r="C705" s="24">
        <f>IF(L35=1,"268.-Me gustaría no ser perturbado por pensamientos sexuales (Verdadero)",IF(L35=2," "," "))</f>
        <v/>
      </c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</row>
    <row r="706" ht="12.75" customHeight="1" s="110"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</row>
    <row r="707" ht="12.75" customHeight="1" s="110">
      <c r="C707" s="25" t="inlineStr">
        <is>
          <t>Síntomas Somáticos</t>
        </is>
      </c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</row>
    <row r="708" ht="12.75" customHeight="1" s="110">
      <c r="C708" s="24">
        <f>IF(D25=1,"18.- Sufro ataques de nauseas y vómitos (Verdadero)",IF(D25=2," "," "))</f>
        <v/>
      </c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</row>
    <row r="709" ht="12.75" customHeight="1" s="110">
      <c r="C709" s="24">
        <f>IF(D35=1,"28.-Me molesta el estómago varias veces a la semana (Verdadero)",IF(D35=2," "," "))</f>
        <v/>
      </c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</row>
    <row r="710" ht="12.75" customHeight="1" s="110">
      <c r="C710" s="24">
        <f>IF(D40=1," ",IF(D40=2,"33.-Rara vez me preocupo de mi salud (Falso)"," "))</f>
        <v/>
      </c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</row>
    <row r="711" ht="12.75" customHeight="1" s="110">
      <c r="C711" s="24">
        <f>IF(D47=1,"40.-La mayor parte del tiempo parece dolerme la cabeza por todas partes (Verdadero)",IF(D47=2," "," "))</f>
        <v/>
      </c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</row>
    <row r="712" ht="12.75" customHeight="1" s="110">
      <c r="C712" s="24">
        <f>IF(D51=1,"44.-Una vez a la semana, o más a menudo, siento calor por todo el cuerpo sin causa aparente (Verdadero)",IF(D51=2," "," "))</f>
        <v/>
      </c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</row>
    <row r="713" ht="12.75" customHeight="1" s="110">
      <c r="C713" s="24">
        <f>IF(D54=1," ",IF(D54=2,"47.-Casi nunca he sufrido dolores en el pecho o en el corazón (Falso)"," "))</f>
        <v/>
      </c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</row>
    <row r="714" ht="12.75" customHeight="1" s="110">
      <c r="C714" s="24">
        <f>IF(D60=1,"53.-Con frecuencia me parece sentir, ardores, punzadas, hormigueo o  quedarse «dormidas» algunas partes de mi cuerpo. (Verdadero)",IF(D60=2," "," "))</f>
        <v/>
      </c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</row>
    <row r="715" ht="12.75" customHeight="1" s="110">
      <c r="C715" s="24">
        <f>IF(D64=1," ",IF(D64=2,"57.-Muy raras veces siento dolor en la nuca (Falso)"," "))</f>
        <v/>
      </c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</row>
    <row r="716" ht="12.75" customHeight="1" s="110">
      <c r="C716" s="24">
        <f>IF(D66=1,"59. Tengo molestias en la boca del estómago casi a diario (Verdadero)",IF(D66=2," "," "))</f>
        <v/>
      </c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</row>
    <row r="717" ht="12.75" customHeight="1" s="110">
      <c r="C717" s="24">
        <f>IF(F48=1,"101.- A menudo siento como si tuviera una venda puesta fuertemente alrededor de mi cabeza.(Verdadero)",IF(F48=2," "," "))</f>
        <v/>
      </c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</row>
    <row r="718" ht="12.75" customHeight="1" s="110">
      <c r="C718" s="24">
        <f>IF(F58=1,"111.- Tengo muchos problemas con el estómago (Verdadero)",IF(F58=2," "," "))</f>
        <v/>
      </c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</row>
    <row r="719" ht="12.75" customHeight="1" s="110">
      <c r="C719" s="24">
        <f>IF(H29=1," ",IF(H29=2,"142.-Nunca he sufrido un ataque o convulsiones (Falso)"," "))</f>
        <v/>
      </c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</row>
    <row r="720" ht="12.75" customHeight="1" s="110">
      <c r="C720" s="24">
        <f>IF(H46=1," ",IF(H46=2,"159.- Nunca me he desmayado (Falso)"," "))</f>
        <v/>
      </c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</row>
    <row r="721" ht="12.75" customHeight="1" s="110">
      <c r="C721" s="24">
        <f>IF(H51=1," ",IF(H51=2,"164.- Nunca o rara vez tengo mareos (Falso)"," "))</f>
        <v/>
      </c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</row>
    <row r="722" ht="12.75" customHeight="1" s="110">
      <c r="C722" s="24">
        <f>IF(H62=1,"175.- Siento debilidad general la mayor parte del tiempo (Verdadero)",IF(H62=2," "," "))</f>
        <v/>
      </c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</row>
    <row r="723" ht="12.75" customHeight="1" s="110">
      <c r="C723" s="24">
        <f>IF(H63=1," ",IF(H63=2,"176.- Me duele la cabeza muy pocas veces (Falso)"," "))</f>
        <v/>
      </c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</row>
    <row r="724" ht="12.75" customHeight="1" s="110">
      <c r="C724" s="24">
        <f>IF(J9=1,"182.- He tenido ataques en los que perdía el control de mis movimientos o de la palabra, pero sabía lo que pasaba a mi alrededor (Verdadero)",IF(J9=2," "," "))</f>
        <v/>
      </c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</row>
    <row r="725" ht="12.75" customHeight="1" s="110">
      <c r="C725" s="24">
        <f>IF(J51=1," ",IF(J51=2,"224.- Tengo pocos o ningún dolor (Falso)"," "))</f>
        <v/>
      </c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</row>
    <row r="726" ht="12.75" customHeight="1" s="110">
      <c r="C726" s="24">
        <f>IF(J56=1,"229.- He tenido momentos de tanta turbación que interrumpí mis actividades, y no sabía qué estaba ocurriendo a mi alrededor (Verdadero)",IF(J56=2," "," "))</f>
        <v/>
      </c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</row>
    <row r="727" ht="12.75" customHeight="1" s="110">
      <c r="C727" s="24">
        <f>IF(L14=1,"247.- Se me adormecen una o más partes de mi piel (Verdadero)",IF(L14=2," "," "))</f>
        <v/>
      </c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</row>
    <row r="728" ht="12.75" customHeight="1" s="110">
      <c r="C728" s="24">
        <f>IF(L22=1," ",IF(L22=2,"255.- Casi nunca noto que me zumben o me silben los oídos (Falso)"," "))</f>
        <v/>
      </c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</row>
    <row r="729" ht="12.75" customHeight="1" s="110">
      <c r="C729" s="24">
        <f>IF(L62=1," ",IF(L62=2,"295.-Nunca he tenido parálisis ni sufrido una debilidad desacostumbrada en alguno de mis músculos (Falso)"," "))</f>
        <v/>
      </c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</row>
    <row r="730" ht="12.75" customHeight="1" s="110">
      <c r="C730" s="24">
        <f>IF(R51=1,"464.-Me siento cansado una buena parte del tiempo (Verdadero)",IF(R51=2," "," "))</f>
        <v/>
      </c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</row>
    <row r="731" ht="12.75" customHeight="1" s="110"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</row>
    <row r="732" ht="12.75" customHeight="1" s="110"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</row>
    <row r="733" ht="12.75" customHeight="1" s="110"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</row>
    <row r="734" ht="12.75" customHeight="1" s="110"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</row>
    <row r="735" ht="12.75" customHeight="1" s="110"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</row>
    <row r="736" ht="12.75" customHeight="1" s="110"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</row>
    <row r="737" ht="12.75" customHeight="1" s="110"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</row>
    <row r="738" ht="12.75" customHeight="1" s="110"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</row>
    <row r="739" ht="12.75" customHeight="1" s="110"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</row>
    <row r="740" ht="12.75" customHeight="1" s="110"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</row>
    <row r="741" ht="12.75" customHeight="1" s="110"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</row>
    <row r="742" ht="12.75" customHeight="1" s="110"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</row>
    <row r="743" ht="12.75" customHeight="1" s="110"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</row>
    <row r="744" ht="12.75" customHeight="1" s="110"/>
    <row r="745" ht="12.75" customHeight="1" s="110"/>
    <row r="746" ht="12.75" customHeight="1" s="110"/>
    <row r="747" ht="12.75" customHeight="1" s="110"/>
    <row r="748" ht="12.75" customHeight="1" s="110"/>
    <row r="749" ht="12.75" customHeight="1" s="110"/>
    <row r="750" ht="12.75" customHeight="1" s="110"/>
    <row r="751" ht="12.75" customHeight="1" s="110"/>
    <row r="752" ht="12.75" customHeight="1" s="110"/>
    <row r="753" ht="12.75" customHeight="1" s="110"/>
    <row r="754" ht="12.75" customHeight="1" s="110"/>
    <row r="755" ht="12.75" customHeight="1" s="110"/>
    <row r="756" ht="12.75" customHeight="1" s="110"/>
    <row r="757" ht="12.75" customHeight="1" s="110"/>
    <row r="758" ht="12.75" customHeight="1" s="110"/>
    <row r="759" ht="12.75" customHeight="1" s="110"/>
    <row r="760" ht="12.75" customHeight="1" s="110"/>
    <row r="761" ht="12.75" customHeight="1" s="110"/>
    <row r="762" ht="12.75" customHeight="1" s="110"/>
    <row r="763" ht="12.75" customHeight="1" s="110"/>
    <row r="764" ht="12.75" customHeight="1" s="110"/>
    <row r="765" ht="12.75" customHeight="1" s="110"/>
    <row r="766" ht="12.75" customHeight="1" s="110"/>
    <row r="767" ht="12.75" customHeight="1" s="110"/>
    <row r="768" ht="12.75" customHeight="1" s="110"/>
    <row r="769" ht="12.75" customHeight="1" s="110"/>
    <row r="770" ht="12.75" customHeight="1" s="110"/>
    <row r="771" ht="12.75" customHeight="1" s="110"/>
    <row r="772" ht="12.75" customHeight="1" s="110"/>
    <row r="773" ht="12.75" customHeight="1" s="110"/>
    <row r="774" ht="12.75" customHeight="1" s="110"/>
    <row r="775" ht="12.75" customHeight="1" s="110"/>
    <row r="776" ht="12.75" customHeight="1" s="110"/>
    <row r="777" ht="12.75" customHeight="1" s="110"/>
    <row r="778" ht="12.75" customHeight="1" s="110"/>
    <row r="779" ht="12.75" customHeight="1" s="110"/>
    <row r="780" ht="12.75" customHeight="1" s="110"/>
    <row r="781" ht="12.75" customHeight="1" s="110"/>
    <row r="782" ht="12.75" customHeight="1" s="110"/>
    <row r="783" ht="12.75" customHeight="1" s="110"/>
    <row r="784" ht="12.75" customHeight="1" s="110"/>
    <row r="785" ht="12.75" customHeight="1" s="110"/>
    <row r="786" ht="12.75" customHeight="1" s="110"/>
    <row r="787" ht="12.75" customHeight="1" s="110"/>
    <row r="788" ht="12.75" customHeight="1" s="110"/>
    <row r="789" ht="12.75" customHeight="1" s="110"/>
    <row r="790" ht="12.75" customHeight="1" s="110"/>
    <row r="791" ht="12.75" customHeight="1" s="110"/>
    <row r="792" ht="12.75" customHeight="1" s="110"/>
    <row r="793" ht="12.75" customHeight="1" s="110"/>
    <row r="794" ht="12.75" customHeight="1" s="110">
      <c r="H794" s="7" t="n"/>
    </row>
    <row r="795" ht="12.75" customHeight="1" s="110"/>
    <row r="796" ht="12.75" customHeight="1" s="110"/>
    <row r="797" ht="12.75" customHeight="1" s="110"/>
    <row r="798" ht="12.75" customHeight="1" s="110"/>
    <row r="799" ht="12.75" customHeight="1" s="110"/>
    <row r="800" ht="12.75" customHeight="1" s="110">
      <c r="C800" s="30" t="n"/>
    </row>
    <row r="801" ht="12.75" customHeight="1" s="110">
      <c r="C801" s="31" t="n"/>
      <c r="D801" s="31" t="n"/>
      <c r="E801" s="31" t="n"/>
      <c r="F801" s="31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</row>
    <row r="802" ht="12.75" customHeight="1" s="110"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</row>
    <row r="803" ht="12.75" customHeight="1" s="110"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</row>
    <row r="804" ht="12.75" customHeight="1" s="110"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</row>
    <row r="805" ht="12.75" customHeight="1" s="110"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</row>
    <row r="806" ht="12.75" customHeight="1" s="110"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</row>
    <row r="807" ht="12.75" customHeight="1" s="110"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</row>
    <row r="808" ht="12.75" customHeight="1" s="110"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</row>
    <row r="809" ht="12.75" customHeight="1" s="110"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</row>
    <row r="810" ht="12.75" customHeight="1" s="110"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</row>
    <row r="811" ht="12.75" customHeight="1" s="110"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</row>
    <row r="812" ht="12.75" customHeight="1" s="110"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</row>
    <row r="813" ht="12.75" customHeight="1" s="110"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</row>
    <row r="814" ht="12.75" customHeight="1" s="110"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</row>
    <row r="815" ht="12.75" customHeight="1" s="110"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</row>
    <row r="816" ht="12.75" customHeight="1" s="110"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</row>
    <row r="817" ht="12.75" customHeight="1" s="110"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</row>
    <row r="818" ht="12.75" customHeight="1" s="110"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</row>
    <row r="819" ht="12.75" customHeight="1" s="110"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</row>
    <row r="820" ht="12.75" customHeight="1" s="110"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</row>
  </sheetData>
  <mergeCells count="2">
    <mergeCell ref="E1:U1"/>
    <mergeCell ref="G4:H4"/>
  </mergeCells>
  <conditionalFormatting sqref="D8:D67 F8:F67 H8:H67 J8:J68 L8:L68 N8:N67 P8:P67 R8:R67 T8:T67 V8:V67">
    <cfRule type="cellIs" priority="1" operator="equal" dxfId="0" stopIfTrue="1">
      <formula>"x"</formula>
    </cfRule>
    <cfRule type="cellIs" priority="2" operator="notEqual" dxfId="1" stopIfTrue="1">
      <formula>"x"</formula>
    </cfRule>
  </conditionalFormatting>
  <dataValidations count="2">
    <dataValidation sqref="T8:T67" showDropDown="0" showInputMessage="1" showErrorMessage="0" allowBlank="1" prompt="Error - ¡¡¡ Sólo 1,2 o 3 !!!" type="decimal">
      <formula1>1.0</formula1>
      <formula2>3.0</formula2>
    </dataValidation>
    <dataValidation sqref="D8:D67 F8:F67 H8:H67 J8:J67 L8:L67 N8:N67 P8:P67 R8:R67 V8:V34" showDropDown="0" showInputMessage="1" showErrorMessage="0" allowBlank="1" prompt="Error - ¡¡¡ Sólo 1, 2 o 3 !!!" type="decimal">
      <formula1>1.0</formula1>
      <formula2>3.0</formula2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selection activeCell="A1" sqref="A1"/>
    </sheetView>
  </sheetViews>
  <sheetFormatPr baseColWidth="8" defaultColWidth="12.63" defaultRowHeight="15" customHeight="1"/>
  <cols>
    <col width="11.38" customWidth="1" style="110" min="1" max="1"/>
    <col width="13.63" customWidth="1" style="110" min="2" max="2"/>
    <col width="11.38" customWidth="1" style="110" min="3" max="3"/>
    <col width="17.38" customWidth="1" style="110" min="4" max="4"/>
    <col width="12.25" customWidth="1" style="110" min="5" max="5"/>
    <col width="11.38" customWidth="1" style="110" min="6" max="15"/>
    <col width="9.130000000000001" customWidth="1" style="110" min="16" max="26"/>
  </cols>
  <sheetData>
    <row r="1" ht="12.75" customHeight="1" s="110">
      <c r="E1" s="32" t="n"/>
      <c r="F1" s="33" t="n"/>
      <c r="G1" s="33" t="n"/>
    </row>
    <row r="2" ht="12.75" customHeight="1" s="110">
      <c r="C2" s="34" t="n"/>
      <c r="D2" s="114" t="inlineStr">
        <is>
          <t>MMPI - 2</t>
        </is>
      </c>
      <c r="F2" s="37" t="n"/>
      <c r="G2" s="33" t="n"/>
      <c r="H2" s="7" t="n"/>
      <c r="I2" s="7" t="n"/>
      <c r="J2" s="38" t="inlineStr">
        <is>
          <t>MMPI - 2</t>
        </is>
      </c>
      <c r="M2" s="7" t="n"/>
      <c r="N2" s="7" t="n"/>
      <c r="O2" s="7" t="n"/>
    </row>
    <row r="3" ht="12.75" customHeight="1" s="110">
      <c r="E3" s="32" t="n"/>
      <c r="F3" s="33" t="n"/>
      <c r="G3" s="33" t="n"/>
      <c r="H3" s="7" t="n"/>
      <c r="I3" s="7" t="n"/>
      <c r="J3" s="7" t="n"/>
      <c r="K3" s="7" t="n"/>
      <c r="L3" s="7" t="n"/>
      <c r="M3" s="7" t="n"/>
      <c r="N3" s="7" t="n"/>
      <c r="O3" s="7" t="n"/>
    </row>
    <row r="4" ht="12.75" customHeight="1" s="110">
      <c r="B4" s="39" t="inlineStr">
        <is>
          <t>Cliente:</t>
        </is>
      </c>
      <c r="C4" s="40" t="n"/>
      <c r="D4" s="40" t="n"/>
      <c r="E4" s="41" t="n"/>
      <c r="F4" s="42" t="n"/>
      <c r="G4" s="42" t="n"/>
      <c r="H4" s="7" t="n"/>
      <c r="I4" s="7" t="inlineStr">
        <is>
          <t>Cliente:</t>
        </is>
      </c>
      <c r="J4" s="6" t="n"/>
      <c r="K4" s="6" t="n"/>
      <c r="L4" s="6" t="n"/>
      <c r="M4" s="6" t="n"/>
      <c r="N4" s="6" t="n"/>
      <c r="O4" s="6" t="n"/>
    </row>
    <row r="5" ht="12.75" customHeight="1" s="110">
      <c r="B5" s="39" t="inlineStr">
        <is>
          <t>Edad:</t>
        </is>
      </c>
      <c r="C5" s="40" t="n"/>
      <c r="D5" s="39" t="n"/>
      <c r="E5" s="43" t="n"/>
      <c r="F5" s="44" t="n"/>
      <c r="G5" s="44" t="n"/>
      <c r="H5" s="7" t="n"/>
      <c r="I5" s="7" t="inlineStr">
        <is>
          <t>Edad:</t>
        </is>
      </c>
      <c r="J5" s="6" t="n"/>
      <c r="K5" s="7" t="n"/>
      <c r="L5" s="7" t="n"/>
      <c r="M5" s="7" t="n"/>
      <c r="N5" s="7" t="n"/>
      <c r="O5" s="7" t="n"/>
    </row>
    <row r="6" ht="12.75" customHeight="1" s="110">
      <c r="B6" s="39" t="inlineStr">
        <is>
          <t>Fecha:</t>
        </is>
      </c>
      <c r="C6" s="45" t="n"/>
      <c r="D6" s="40" t="n"/>
      <c r="E6" s="43" t="n"/>
      <c r="F6" s="44" t="n"/>
      <c r="G6" s="44" t="n"/>
      <c r="H6" s="7" t="n"/>
      <c r="I6" s="7" t="inlineStr">
        <is>
          <t>Fecha:</t>
        </is>
      </c>
      <c r="J6" s="9" t="n"/>
      <c r="K6" s="6" t="n"/>
      <c r="L6" s="7" t="n"/>
      <c r="M6" s="7" t="n"/>
      <c r="N6" s="7" t="n"/>
      <c r="O6" s="7" t="n"/>
    </row>
    <row r="7" ht="12.75" customHeight="1" s="110">
      <c r="B7" s="39" t="inlineStr">
        <is>
          <t>Evaluador:</t>
        </is>
      </c>
      <c r="C7" s="39" t="n"/>
      <c r="D7" s="39" t="n"/>
      <c r="E7" s="43" t="n"/>
      <c r="F7" s="44" t="n"/>
      <c r="G7" s="44" t="n"/>
      <c r="H7" s="7" t="n"/>
      <c r="I7" s="7" t="inlineStr">
        <is>
          <t>Evaluador:</t>
        </is>
      </c>
      <c r="J7" s="6" t="n"/>
      <c r="K7" s="6" t="n"/>
      <c r="L7" s="6" t="n"/>
      <c r="M7" s="6" t="n"/>
      <c r="N7" s="7" t="n"/>
      <c r="O7" s="7" t="n"/>
    </row>
    <row r="8" ht="12.75" customHeight="1" s="110">
      <c r="C8" s="40" t="n"/>
      <c r="D8" s="40" t="n"/>
      <c r="E8" s="46" t="inlineStr">
        <is>
          <t>Usar estos</t>
        </is>
      </c>
      <c r="F8" s="47" t="inlineStr">
        <is>
          <t>NO USAR</t>
        </is>
      </c>
      <c r="G8" s="48" t="inlineStr">
        <is>
          <t>ESTOS</t>
        </is>
      </c>
      <c r="H8" s="7" t="n"/>
      <c r="I8" s="7" t="n"/>
      <c r="J8" s="6" t="n"/>
      <c r="K8" s="6" t="n"/>
      <c r="L8" s="6" t="n"/>
      <c r="M8" s="6" t="n"/>
      <c r="N8" s="6" t="n"/>
      <c r="O8" s="6" t="n"/>
    </row>
    <row r="9" ht="12.75" customHeight="1" s="110">
      <c r="B9" s="39" t="n"/>
      <c r="C9" s="39" t="n"/>
      <c r="D9" s="39" t="n"/>
      <c r="E9" s="46" t="inlineStr">
        <is>
          <t>datos</t>
        </is>
      </c>
      <c r="F9" s="47" t="inlineStr">
        <is>
          <t>DATOS</t>
        </is>
      </c>
      <c r="G9" s="49" t="n"/>
      <c r="H9" s="7" t="n"/>
      <c r="I9" s="30" t="inlineStr">
        <is>
          <t>SUBESCALAS de Harry - Lingoes</t>
        </is>
      </c>
      <c r="J9" s="30" t="n"/>
      <c r="K9" s="30" t="n"/>
      <c r="L9" s="7" t="n"/>
      <c r="M9" s="7" t="n"/>
      <c r="N9" s="7" t="n"/>
      <c r="O9" s="7" t="n"/>
    </row>
    <row r="10" ht="12.75" customHeight="1" s="110">
      <c r="B10" s="50" t="inlineStr">
        <is>
          <t>ESCALAS DE VALIDEZ</t>
        </is>
      </c>
      <c r="C10" s="51" t="n"/>
      <c r="D10" s="39" t="n"/>
      <c r="E10" s="46" t="inlineStr">
        <is>
          <t>P.Directas</t>
        </is>
      </c>
      <c r="F10" s="52" t="inlineStr">
        <is>
          <t>P.D.+ K</t>
        </is>
      </c>
      <c r="G10" s="52" t="inlineStr">
        <is>
          <t>P.Típicas</t>
        </is>
      </c>
      <c r="H10" s="7" t="n"/>
      <c r="I10" s="53" t="inlineStr">
        <is>
          <t>DEPRESIÓN</t>
        </is>
      </c>
      <c r="J10" s="7" t="n"/>
      <c r="K10" s="7" t="n"/>
      <c r="L10" s="7" t="n"/>
      <c r="M10" s="54" t="inlineStr">
        <is>
          <t>P. Directas</t>
        </is>
      </c>
      <c r="N10" s="54" t="inlineStr">
        <is>
          <t>P. Típicas</t>
        </is>
      </c>
      <c r="O10" s="7" t="n"/>
    </row>
    <row r="11" ht="12.75" customHeight="1" s="110">
      <c r="B11" s="55" t="inlineStr">
        <is>
          <t>? (Interrogantes)</t>
        </is>
      </c>
      <c r="C11" s="55" t="n"/>
      <c r="D11" s="55" t="n"/>
      <c r="E11" s="56">
        <f>Respuestas!V72</f>
        <v/>
      </c>
      <c r="F11" s="57">
        <f>Respuestas!Y72</f>
        <v/>
      </c>
      <c r="G11" s="58">
        <f>Respuestas!Z72</f>
        <v/>
      </c>
      <c r="H11" s="59" t="n"/>
      <c r="I11" s="6" t="inlineStr">
        <is>
          <t>D1: Depresión subjetiva</t>
        </is>
      </c>
      <c r="J11" s="6" t="n"/>
      <c r="K11" s="7" t="n"/>
      <c r="L11" s="7" t="n"/>
      <c r="M11" s="60">
        <f>Respuestas!X372</f>
        <v/>
      </c>
      <c r="N11" s="60">
        <f>Respuestas!P374</f>
        <v/>
      </c>
      <c r="O11" s="7" t="n"/>
    </row>
    <row r="12" ht="12.75" customHeight="1" s="110">
      <c r="B12" s="55" t="inlineStr">
        <is>
          <t>L (Mentira)</t>
        </is>
      </c>
      <c r="C12" s="55" t="n"/>
      <c r="D12" s="55" t="n"/>
      <c r="E12" s="56">
        <f>Respuestas!V73</f>
        <v/>
      </c>
      <c r="F12" s="57">
        <f>Respuestas!Y73</f>
        <v/>
      </c>
      <c r="G12" s="57">
        <f>Respuestas!Z73</f>
        <v/>
      </c>
      <c r="H12" s="7" t="n"/>
      <c r="I12" s="6" t="inlineStr">
        <is>
          <t>D2: Retardo Psicomotor</t>
        </is>
      </c>
      <c r="J12" s="6" t="n"/>
      <c r="K12" s="7" t="n"/>
      <c r="L12" s="7" t="n"/>
      <c r="M12" s="60">
        <f>Respuestas!X376</f>
        <v/>
      </c>
      <c r="N12" s="60">
        <f>Respuestas!P378</f>
        <v/>
      </c>
      <c r="O12" s="7" t="n"/>
    </row>
    <row r="13" ht="12.75" customHeight="1" s="110">
      <c r="B13" s="55" t="inlineStr">
        <is>
          <t>F (Incoherencia)</t>
        </is>
      </c>
      <c r="C13" s="55" t="n"/>
      <c r="D13" s="55" t="n"/>
      <c r="E13" s="56">
        <f>Respuestas!V77</f>
        <v/>
      </c>
      <c r="F13" s="57">
        <f>Respuestas!Y77</f>
        <v/>
      </c>
      <c r="G13" s="57">
        <f>Respuestas!Z77</f>
        <v/>
      </c>
      <c r="H13" s="7" t="n"/>
      <c r="I13" s="6" t="inlineStr">
        <is>
          <t>D3: Problemas Físicos</t>
        </is>
      </c>
      <c r="J13" s="6" t="n"/>
      <c r="K13" s="7" t="n"/>
      <c r="L13" s="7" t="n"/>
      <c r="M13" s="60">
        <f>Respuestas!X380</f>
        <v/>
      </c>
      <c r="N13" s="60">
        <f>Respuestas!P382</f>
        <v/>
      </c>
      <c r="O13" s="7" t="n"/>
    </row>
    <row r="14" ht="12.75" customHeight="1" s="110">
      <c r="B14" s="55" t="inlineStr">
        <is>
          <t>K (Corrección)</t>
        </is>
      </c>
      <c r="C14" s="55" t="n"/>
      <c r="D14" s="55" t="n"/>
      <c r="E14" s="56">
        <f>Respuestas!V79</f>
        <v/>
      </c>
      <c r="F14" s="57">
        <f>Respuestas!Y79</f>
        <v/>
      </c>
      <c r="G14" s="57">
        <f>Respuestas!Z79</f>
        <v/>
      </c>
      <c r="H14" s="7" t="n"/>
      <c r="I14" s="6" t="inlineStr">
        <is>
          <t>D4: Inhibición mental.</t>
        </is>
      </c>
      <c r="J14" s="6" t="n"/>
      <c r="K14" s="7" t="n"/>
      <c r="L14" s="7" t="n"/>
      <c r="M14" s="60">
        <f>Respuestas!X384</f>
        <v/>
      </c>
      <c r="N14" s="60">
        <f>Respuestas!P386</f>
        <v/>
      </c>
      <c r="O14" s="7" t="n"/>
    </row>
    <row r="15" ht="12.75" customHeight="1" s="110">
      <c r="B15" s="61" t="inlineStr">
        <is>
          <t>ESCALAS CLINICAS O BÁSICAS</t>
        </is>
      </c>
      <c r="C15" s="61" t="n"/>
      <c r="D15" s="55" t="n"/>
      <c r="E15" s="46" t="n"/>
      <c r="F15" s="52" t="n"/>
      <c r="G15" s="52" t="n"/>
      <c r="H15" s="7" t="n"/>
      <c r="I15" s="6" t="inlineStr">
        <is>
          <t>D5: Rumiación</t>
        </is>
      </c>
      <c r="J15" s="6" t="n"/>
      <c r="K15" s="7" t="n"/>
      <c r="L15" s="7" t="n"/>
      <c r="M15" s="60">
        <f>Respuestas!X388</f>
        <v/>
      </c>
      <c r="N15" s="60">
        <f>Respuestas!P390</f>
        <v/>
      </c>
      <c r="O15" s="7" t="n"/>
    </row>
    <row r="16" ht="12.75" customHeight="1" s="110">
      <c r="B16" s="55" t="inlineStr">
        <is>
          <t>Hs (Hipocondría)</t>
        </is>
      </c>
      <c r="C16" s="55" t="n"/>
      <c r="D16" s="55" t="n"/>
      <c r="E16" s="56">
        <f>Respuestas!V82</f>
        <v/>
      </c>
      <c r="F16" s="62">
        <f>Respuestas!Y82</f>
        <v/>
      </c>
      <c r="G16" s="57">
        <f>Respuestas!Z82</f>
        <v/>
      </c>
      <c r="H16" s="7" t="n"/>
      <c r="I16" s="7" t="n"/>
      <c r="J16" s="7" t="n"/>
      <c r="K16" s="7" t="n"/>
      <c r="L16" s="7" t="n"/>
      <c r="M16" s="63" t="n"/>
      <c r="N16" s="63" t="n"/>
      <c r="O16" s="7" t="n"/>
    </row>
    <row r="17" ht="12.75" customHeight="1" s="110">
      <c r="B17" s="55" t="inlineStr">
        <is>
          <t>D (Depresión)</t>
        </is>
      </c>
      <c r="C17" s="55" t="n"/>
      <c r="D17" s="55" t="n"/>
      <c r="E17" s="56">
        <f>Respuestas!V86</f>
        <v/>
      </c>
      <c r="F17" s="57">
        <f>Respuestas!Y86</f>
        <v/>
      </c>
      <c r="G17" s="57">
        <f>Respuestas!Z86</f>
        <v/>
      </c>
      <c r="H17" s="7" t="n"/>
      <c r="I17" s="8" t="inlineStr">
        <is>
          <t>HISTERIA</t>
        </is>
      </c>
      <c r="J17" s="6" t="n"/>
      <c r="K17" s="6" t="n"/>
      <c r="L17" s="6" t="n"/>
      <c r="M17" s="54" t="n"/>
      <c r="N17" s="54" t="n"/>
      <c r="O17" s="7" t="n"/>
    </row>
    <row r="18" ht="12.75" customHeight="1" s="110">
      <c r="B18" s="55" t="inlineStr">
        <is>
          <t>Hy (Histeria de conversión)</t>
        </is>
      </c>
      <c r="C18" s="55" t="n"/>
      <c r="D18" s="55" t="n"/>
      <c r="E18" s="56">
        <f>Respuestas!V90</f>
        <v/>
      </c>
      <c r="F18" s="57">
        <f>Respuestas!Y90</f>
        <v/>
      </c>
      <c r="G18" s="57">
        <f>Respuestas!Z90</f>
        <v/>
      </c>
      <c r="H18" s="7" t="n"/>
      <c r="I18" s="6" t="inlineStr">
        <is>
          <t>Hy1: Negación de la ansiedad social</t>
        </is>
      </c>
      <c r="J18" s="6" t="n"/>
      <c r="K18" s="6" t="n"/>
      <c r="L18" s="7" t="n"/>
      <c r="M18" s="60">
        <f>Respuestas!X394</f>
        <v/>
      </c>
      <c r="N18" s="60">
        <f>Respuestas!P396</f>
        <v/>
      </c>
      <c r="O18" s="7" t="n"/>
    </row>
    <row r="19" ht="12.75" customHeight="1" s="110">
      <c r="B19" s="55" t="inlineStr">
        <is>
          <t>Pd (Desviación psicopática)</t>
        </is>
      </c>
      <c r="C19" s="55" t="n"/>
      <c r="D19" s="55" t="n"/>
      <c r="E19" s="56">
        <f>Respuestas!V93</f>
        <v/>
      </c>
      <c r="F19" s="62">
        <f>Respuestas!Y93</f>
        <v/>
      </c>
      <c r="G19" s="57">
        <f>Respuestas!Z93</f>
        <v/>
      </c>
      <c r="H19" s="7" t="n"/>
      <c r="I19" s="6" t="inlineStr">
        <is>
          <t>Hy2: Necesidad de afecto</t>
        </is>
      </c>
      <c r="J19" s="6" t="n"/>
      <c r="K19" s="6" t="n"/>
      <c r="L19" s="6" t="n"/>
      <c r="M19" s="60">
        <f>Respuestas!X398</f>
        <v/>
      </c>
      <c r="N19" s="60">
        <f>Respuestas!P400</f>
        <v/>
      </c>
      <c r="O19" s="7" t="n"/>
    </row>
    <row r="20" ht="12.75" customHeight="1" s="110">
      <c r="B20" s="55" t="inlineStr">
        <is>
          <t>Mfv (Masculinidad)</t>
        </is>
      </c>
      <c r="C20" s="55" t="n"/>
      <c r="D20" s="55" t="n"/>
      <c r="E20" s="56">
        <f>Respuestas!V97</f>
        <v/>
      </c>
      <c r="F20" s="57">
        <f>Respuestas!Y97</f>
        <v/>
      </c>
      <c r="G20" s="57">
        <f>Respuestas!Z97</f>
        <v/>
      </c>
      <c r="H20" s="7" t="n"/>
      <c r="I20" s="6" t="inlineStr">
        <is>
          <t>Hy3: Lasitud-enfermedad</t>
        </is>
      </c>
      <c r="J20" s="6" t="n"/>
      <c r="K20" s="6" t="n"/>
      <c r="L20" s="6" t="n"/>
      <c r="M20" s="60">
        <f>Respuestas!X402</f>
        <v/>
      </c>
      <c r="N20" s="60">
        <f>Respuestas!P404</f>
        <v/>
      </c>
      <c r="O20" s="7" t="n"/>
    </row>
    <row r="21" ht="12.75" customHeight="1" s="110">
      <c r="B21" s="55" t="inlineStr">
        <is>
          <t>Pa (Paranoia)</t>
        </is>
      </c>
      <c r="C21" s="55" t="n"/>
      <c r="D21" s="55" t="n"/>
      <c r="E21" s="56">
        <f>Respuestas!V104</f>
        <v/>
      </c>
      <c r="F21" s="57">
        <f>Respuestas!Y104</f>
        <v/>
      </c>
      <c r="G21" s="57">
        <f>Respuestas!Z104</f>
        <v/>
      </c>
      <c r="H21" s="7" t="n"/>
      <c r="I21" s="6" t="inlineStr">
        <is>
          <t>Hy4: Quejas somáticas.</t>
        </is>
      </c>
      <c r="J21" s="6" t="n"/>
      <c r="K21" s="6" t="n"/>
      <c r="L21" s="6" t="n"/>
      <c r="M21" s="60">
        <f>Respuestas!X406</f>
        <v/>
      </c>
      <c r="N21" s="60">
        <f>Respuestas!P408</f>
        <v/>
      </c>
      <c r="O21" s="7" t="n"/>
    </row>
    <row r="22" ht="12.75" customHeight="1" s="110">
      <c r="B22" s="55" t="inlineStr">
        <is>
          <t>Pt (Psicastenia)</t>
        </is>
      </c>
      <c r="C22" s="55" t="n"/>
      <c r="D22" s="55" t="n"/>
      <c r="E22" s="56">
        <f>Respuestas!V107</f>
        <v/>
      </c>
      <c r="F22" s="57">
        <f>Respuestas!Y107</f>
        <v/>
      </c>
      <c r="G22" s="57">
        <f>Respuestas!Z107</f>
        <v/>
      </c>
      <c r="H22" s="7" t="n"/>
      <c r="I22" s="6" t="inlineStr">
        <is>
          <t>Hy5: Inhibición de la agresión</t>
        </is>
      </c>
      <c r="J22" s="6" t="n"/>
      <c r="K22" s="6" t="n"/>
      <c r="L22" s="6" t="n"/>
      <c r="M22" s="60">
        <f>Respuestas!X410</f>
        <v/>
      </c>
      <c r="N22" s="60">
        <f>Respuestas!P412</f>
        <v/>
      </c>
      <c r="O22" s="7" t="n"/>
    </row>
    <row r="23" ht="12.75" customHeight="1" s="110">
      <c r="B23" s="55" t="inlineStr">
        <is>
          <t>Sc (Esquizofrenia)</t>
        </is>
      </c>
      <c r="C23" s="55" t="n"/>
      <c r="D23" s="55" t="n"/>
      <c r="E23" s="56">
        <f>Respuestas!V112</f>
        <v/>
      </c>
      <c r="F23" s="57">
        <f>Respuestas!Y112</f>
        <v/>
      </c>
      <c r="G23" s="57">
        <f>Respuestas!Z112</f>
        <v/>
      </c>
      <c r="H23" s="7" t="n"/>
      <c r="I23" s="6" t="n"/>
      <c r="J23" s="6" t="n"/>
      <c r="K23" s="6" t="n"/>
      <c r="L23" s="6" t="n"/>
      <c r="M23" s="54" t="n"/>
      <c r="N23" s="54" t="n"/>
      <c r="O23" s="7" t="n"/>
    </row>
    <row r="24" ht="12.75" customHeight="1" s="110">
      <c r="B24" s="55" t="inlineStr">
        <is>
          <t>Ma (Hipomanía)</t>
        </is>
      </c>
      <c r="C24" s="55" t="n"/>
      <c r="D24" s="55" t="n"/>
      <c r="E24" s="56">
        <f>Respuestas!V115</f>
        <v/>
      </c>
      <c r="F24" s="62">
        <f>Respuestas!Y115</f>
        <v/>
      </c>
      <c r="G24" s="57">
        <f>Respuestas!Z115</f>
        <v/>
      </c>
      <c r="H24" s="7" t="n"/>
      <c r="I24" s="8" t="inlineStr">
        <is>
          <t>DESVIACIÓN PSICOPÁTICA</t>
        </is>
      </c>
      <c r="J24" s="6" t="n"/>
      <c r="K24" s="6" t="n"/>
      <c r="L24" s="6" t="n"/>
      <c r="M24" s="54" t="n"/>
      <c r="N24" s="54" t="n"/>
      <c r="O24" s="7" t="n"/>
    </row>
    <row r="25" ht="12.75" customHeight="1" s="110">
      <c r="B25" s="55" t="inlineStr">
        <is>
          <t>Si (Introversión social)</t>
        </is>
      </c>
      <c r="C25" s="55" t="n"/>
      <c r="D25" s="55" t="n"/>
      <c r="E25" s="56">
        <f>Respuestas!V120</f>
        <v/>
      </c>
      <c r="F25" s="57">
        <f>Respuestas!Y120</f>
        <v/>
      </c>
      <c r="G25" s="57">
        <f>Respuestas!Z120</f>
        <v/>
      </c>
      <c r="H25" s="7" t="n"/>
      <c r="I25" s="6" t="inlineStr">
        <is>
          <t>Pd1: Discordia familiar</t>
        </is>
      </c>
      <c r="J25" s="6" t="n"/>
      <c r="K25" s="6" t="n"/>
      <c r="L25" s="6" t="n"/>
      <c r="M25" s="60">
        <f>Respuestas!X416</f>
        <v/>
      </c>
      <c r="N25" s="60">
        <f>Respuestas!P418</f>
        <v/>
      </c>
      <c r="O25" s="7" t="n"/>
    </row>
    <row r="26" ht="12.75" customHeight="1" s="110">
      <c r="B26" s="64" t="inlineStr">
        <is>
          <t>ESCALAS DE CONTENIDO</t>
        </is>
      </c>
      <c r="C26" s="64" t="n"/>
      <c r="D26" s="55" t="n"/>
      <c r="E26" s="46" t="n"/>
      <c r="F26" s="52" t="n"/>
      <c r="G26" s="52" t="n"/>
      <c r="H26" s="7" t="n"/>
      <c r="I26" s="6" t="inlineStr">
        <is>
          <t>Pd2: Problemas con las figuras de autoridad</t>
        </is>
      </c>
      <c r="J26" s="6" t="n"/>
      <c r="K26" s="6" t="n"/>
      <c r="L26" s="6" t="n"/>
      <c r="M26" s="60">
        <f>Respuestas!X420</f>
        <v/>
      </c>
      <c r="N26" s="60">
        <f>Respuestas!P422</f>
        <v/>
      </c>
      <c r="O26" s="7" t="n"/>
    </row>
    <row r="27" ht="12.75" customHeight="1" s="110">
      <c r="B27" s="55" t="inlineStr">
        <is>
          <t>ANX (Ansiedad)</t>
        </is>
      </c>
      <c r="C27" s="55" t="n"/>
      <c r="D27" s="55" t="n"/>
      <c r="E27" s="56">
        <f>Respuestas!V123</f>
        <v/>
      </c>
      <c r="F27" s="57">
        <f>Respuestas!Y123</f>
        <v/>
      </c>
      <c r="G27" s="57">
        <f>Respuestas!Z123</f>
        <v/>
      </c>
      <c r="H27" s="7" t="n"/>
      <c r="I27" s="6" t="inlineStr">
        <is>
          <t>Pd3: Imperturbabilidad Social</t>
        </is>
      </c>
      <c r="J27" s="6" t="n"/>
      <c r="K27" s="6" t="n"/>
      <c r="L27" s="6" t="n"/>
      <c r="M27" s="60">
        <f>Respuestas!X424</f>
        <v/>
      </c>
      <c r="N27" s="60">
        <f>Respuestas!P426</f>
        <v/>
      </c>
      <c r="O27" s="7" t="n"/>
    </row>
    <row r="28" ht="12.75" customHeight="1" s="110">
      <c r="B28" s="55" t="inlineStr">
        <is>
          <t>FRS (Miedos)</t>
        </is>
      </c>
      <c r="C28" s="55" t="n"/>
      <c r="D28" s="55" t="n"/>
      <c r="E28" s="56">
        <f>Respuestas!V125</f>
        <v/>
      </c>
      <c r="F28" s="57">
        <f>Respuestas!Y125</f>
        <v/>
      </c>
      <c r="G28" s="57">
        <f>Respuestas!Z125</f>
        <v/>
      </c>
      <c r="H28" s="7" t="n"/>
      <c r="I28" s="6" t="inlineStr">
        <is>
          <t>Pd4: Alienación social</t>
        </is>
      </c>
      <c r="J28" s="6" t="n"/>
      <c r="K28" s="6" t="n"/>
      <c r="L28" s="6" t="n"/>
      <c r="M28" s="60">
        <f>Respuestas!X428</f>
        <v/>
      </c>
      <c r="N28" s="60">
        <f>Respuestas!P430</f>
        <v/>
      </c>
      <c r="O28" s="7" t="n"/>
    </row>
    <row r="29" ht="12.75" customHeight="1" s="110">
      <c r="B29" s="55" t="inlineStr">
        <is>
          <t>OBS (Obsesividad)</t>
        </is>
      </c>
      <c r="C29" s="55" t="n"/>
      <c r="D29" s="55" t="n"/>
      <c r="E29" s="56">
        <f>Respuestas!V126</f>
        <v/>
      </c>
      <c r="F29" s="57">
        <f>Respuestas!Y126</f>
        <v/>
      </c>
      <c r="G29" s="57">
        <f>Respuestas!Z126</f>
        <v/>
      </c>
      <c r="H29" s="7" t="n"/>
      <c r="I29" s="7" t="inlineStr">
        <is>
          <t>Pd5: Autoalienación</t>
        </is>
      </c>
      <c r="J29" s="6" t="n"/>
      <c r="K29" s="6" t="n"/>
      <c r="L29" s="6" t="n"/>
      <c r="M29" s="60">
        <f>Respuestas!X432</f>
        <v/>
      </c>
      <c r="N29" s="60">
        <f>Respuestas!P434</f>
        <v/>
      </c>
      <c r="O29" s="7" t="n"/>
    </row>
    <row r="30" ht="12.75" customHeight="1" s="110">
      <c r="B30" s="55" t="inlineStr">
        <is>
          <t>DEP (Depresión)</t>
        </is>
      </c>
      <c r="C30" s="55" t="n"/>
      <c r="D30" s="55" t="n"/>
      <c r="E30" s="56">
        <f>Respuestas!V128</f>
        <v/>
      </c>
      <c r="F30" s="57">
        <f>Respuestas!Y128</f>
        <v/>
      </c>
      <c r="G30" s="57">
        <f>Respuestas!Z128</f>
        <v/>
      </c>
      <c r="H30" s="7" t="n"/>
      <c r="I30" s="6" t="n"/>
      <c r="J30" s="6" t="n"/>
      <c r="K30" s="6" t="n"/>
      <c r="L30" s="6" t="n"/>
      <c r="M30" s="54" t="n"/>
      <c r="N30" s="54" t="n"/>
      <c r="O30" s="7" t="n"/>
    </row>
    <row r="31" ht="12.75" customHeight="1" s="110">
      <c r="B31" s="55" t="inlineStr">
        <is>
          <t>HEA (Preocupaciones por la salud)</t>
        </is>
      </c>
      <c r="C31" s="55" t="n"/>
      <c r="D31" s="55" t="n"/>
      <c r="E31" s="56">
        <f>Respuestas!V131</f>
        <v/>
      </c>
      <c r="F31" s="57">
        <f>Respuestas!Y131</f>
        <v/>
      </c>
      <c r="G31" s="57">
        <f>Respuestas!Z131</f>
        <v/>
      </c>
      <c r="H31" s="7" t="n"/>
      <c r="I31" s="8" t="inlineStr">
        <is>
          <t>PARANOIA</t>
        </is>
      </c>
      <c r="J31" s="6" t="n"/>
      <c r="K31" s="6" t="n"/>
      <c r="L31" s="6" t="n"/>
      <c r="M31" s="54" t="n"/>
      <c r="N31" s="54" t="n"/>
      <c r="O31" s="7" t="n"/>
    </row>
    <row r="32" ht="12.75" customHeight="1" s="110">
      <c r="B32" s="55" t="inlineStr">
        <is>
          <t>BIZ (Pensamiento estrafalario)</t>
        </is>
      </c>
      <c r="C32" s="55" t="n"/>
      <c r="D32" s="55" t="n"/>
      <c r="E32" s="56">
        <f>Respuestas!V133</f>
        <v/>
      </c>
      <c r="F32" s="57">
        <f>Respuestas!Y133</f>
        <v/>
      </c>
      <c r="G32" s="57">
        <f>Respuestas!Z133</f>
        <v/>
      </c>
      <c r="H32" s="7" t="n"/>
      <c r="I32" s="6" t="inlineStr">
        <is>
          <t>Pa1: Ideas persecutorias</t>
        </is>
      </c>
      <c r="J32" s="6" t="n"/>
      <c r="K32" s="6" t="n"/>
      <c r="L32" s="6" t="n"/>
      <c r="M32" s="60">
        <f>Respuestas!X438</f>
        <v/>
      </c>
      <c r="N32" s="60">
        <f>Respuestas!P440</f>
        <v/>
      </c>
      <c r="O32" s="7" t="n"/>
    </row>
    <row r="33" ht="12.75" customHeight="1" s="110">
      <c r="B33" s="55" t="inlineStr">
        <is>
          <t>ANG (Hostilidad)</t>
        </is>
      </c>
      <c r="C33" s="55" t="n"/>
      <c r="D33" s="55" t="n"/>
      <c r="E33" s="56">
        <f>Respuestas!V134</f>
        <v/>
      </c>
      <c r="F33" s="57">
        <f>Respuestas!Y134</f>
        <v/>
      </c>
      <c r="G33" s="57">
        <f>Respuestas!Z134</f>
        <v/>
      </c>
      <c r="H33" s="7" t="n"/>
      <c r="I33" s="6" t="inlineStr">
        <is>
          <t>Pa2: Hiperestesia</t>
        </is>
      </c>
      <c r="J33" s="6" t="n"/>
      <c r="K33" s="6" t="n"/>
      <c r="L33" s="6" t="n"/>
      <c r="M33" s="60">
        <f>Respuestas!X442</f>
        <v/>
      </c>
      <c r="N33" s="60">
        <f>Respuestas!P444</f>
        <v/>
      </c>
      <c r="O33" s="7" t="n"/>
    </row>
    <row r="34" ht="12.75" customHeight="1" s="110">
      <c r="B34" s="55" t="inlineStr">
        <is>
          <t>CYN (Cinismo)</t>
        </is>
      </c>
      <c r="C34" s="55" t="n"/>
      <c r="D34" s="55" t="n"/>
      <c r="E34" s="56">
        <f>Respuestas!V136</f>
        <v/>
      </c>
      <c r="F34" s="57">
        <f>Respuestas!Y136</f>
        <v/>
      </c>
      <c r="G34" s="57">
        <f>Respuestas!Z136</f>
        <v/>
      </c>
      <c r="H34" s="7" t="n"/>
      <c r="I34" s="6" t="inlineStr">
        <is>
          <t>Pa3: Ingenuidad</t>
        </is>
      </c>
      <c r="J34" s="6" t="n"/>
      <c r="K34" s="7" t="n"/>
      <c r="L34" s="7" t="n"/>
      <c r="M34" s="60">
        <f>Respuestas!X446</f>
        <v/>
      </c>
      <c r="N34" s="60">
        <f>Respuestas!P448</f>
        <v/>
      </c>
      <c r="O34" s="7" t="n"/>
    </row>
    <row r="35" ht="12.75" customHeight="1" s="110">
      <c r="B35" s="55" t="inlineStr">
        <is>
          <t>ASP (Conductas antisociales)</t>
        </is>
      </c>
      <c r="C35" s="55" t="n"/>
      <c r="D35" s="55" t="n"/>
      <c r="E35" s="56">
        <f>Respuestas!V138</f>
        <v/>
      </c>
      <c r="F35" s="57">
        <f>Respuestas!Y138</f>
        <v/>
      </c>
      <c r="G35" s="57">
        <f>Respuestas!Z138</f>
        <v/>
      </c>
      <c r="H35" s="7" t="n"/>
      <c r="I35" s="7" t="n"/>
      <c r="J35" s="7" t="n"/>
      <c r="K35" s="7" t="n"/>
      <c r="L35" s="7" t="n"/>
      <c r="M35" s="63" t="n"/>
      <c r="N35" s="63" t="n"/>
      <c r="O35" s="7" t="n"/>
    </row>
    <row r="36" ht="12.75" customHeight="1" s="110">
      <c r="B36" s="55" t="inlineStr">
        <is>
          <t>TPA (Comportamiento tipo A)</t>
        </is>
      </c>
      <c r="C36" s="55" t="n"/>
      <c r="D36" s="55" t="n"/>
      <c r="E36" s="56">
        <f>Respuestas!V140</f>
        <v/>
      </c>
      <c r="F36" s="57">
        <f>Respuestas!Y140</f>
        <v/>
      </c>
      <c r="G36" s="57">
        <f>Respuestas!Z140</f>
        <v/>
      </c>
      <c r="H36" s="7" t="n"/>
      <c r="I36" s="30" t="inlineStr">
        <is>
          <t>ESQUIZOFRENIA</t>
        </is>
      </c>
      <c r="J36" s="7" t="n"/>
      <c r="K36" s="7" t="n"/>
      <c r="L36" s="7" t="n"/>
      <c r="M36" s="63" t="n"/>
      <c r="N36" s="63" t="n"/>
      <c r="O36" s="7" t="n"/>
    </row>
    <row r="37" ht="12.75" customHeight="1" s="110">
      <c r="B37" s="55" t="inlineStr">
        <is>
          <t>LSE (Baja autoestima)</t>
        </is>
      </c>
      <c r="C37" s="55" t="n"/>
      <c r="D37" s="55" t="n"/>
      <c r="E37" s="56">
        <f>Respuestas!V142</f>
        <v/>
      </c>
      <c r="F37" s="57">
        <f>Respuestas!Y142</f>
        <v/>
      </c>
      <c r="G37" s="57">
        <f>Respuestas!Z142</f>
        <v/>
      </c>
      <c r="H37" s="7" t="n"/>
      <c r="I37" s="6" t="inlineStr">
        <is>
          <t>Sc1: Alienación social</t>
        </is>
      </c>
      <c r="J37" s="6" t="n"/>
      <c r="K37" s="7" t="n"/>
      <c r="L37" s="7" t="n"/>
      <c r="M37" s="60">
        <f>Respuestas!X453</f>
        <v/>
      </c>
      <c r="N37" s="60">
        <f>Respuestas!P455</f>
        <v/>
      </c>
      <c r="O37" s="7" t="n"/>
    </row>
    <row r="38" ht="12.75" customHeight="1" s="110">
      <c r="B38" s="55" t="inlineStr">
        <is>
          <t>SOD (Malestar social)</t>
        </is>
      </c>
      <c r="C38" s="55" t="n"/>
      <c r="D38" s="55" t="n"/>
      <c r="E38" s="56">
        <f>Respuestas!V144</f>
        <v/>
      </c>
      <c r="F38" s="57">
        <f>Respuestas!Y144</f>
        <v/>
      </c>
      <c r="G38" s="57">
        <f>Respuestas!Z144</f>
        <v/>
      </c>
      <c r="H38" s="7" t="n"/>
      <c r="I38" s="6" t="inlineStr">
        <is>
          <t>Sc2: Alienación emocional</t>
        </is>
      </c>
      <c r="J38" s="6" t="n"/>
      <c r="K38" s="7" t="n"/>
      <c r="L38" s="7" t="n"/>
      <c r="M38" s="60">
        <f>Respuestas!X457</f>
        <v/>
      </c>
      <c r="N38" s="60">
        <f>Respuestas!P459</f>
        <v/>
      </c>
      <c r="O38" s="7" t="n"/>
    </row>
    <row r="39" ht="12.75" customHeight="1" s="110">
      <c r="B39" s="55" t="inlineStr">
        <is>
          <t>FAM (Problemas familiares)</t>
        </is>
      </c>
      <c r="C39" s="55" t="n"/>
      <c r="D39" s="55" t="n"/>
      <c r="E39" s="56">
        <f>Respuestas!V146</f>
        <v/>
      </c>
      <c r="F39" s="57">
        <f>Respuestas!Y146</f>
        <v/>
      </c>
      <c r="G39" s="57">
        <f>Respuestas!Z146</f>
        <v/>
      </c>
      <c r="H39" s="7" t="n"/>
      <c r="I39" s="6" t="inlineStr">
        <is>
          <t>Sc3: Ausencia de control del yo, cognitivo</t>
        </is>
      </c>
      <c r="J39" s="6" t="n"/>
      <c r="K39" s="6" t="n"/>
      <c r="L39" s="6" t="n"/>
      <c r="M39" s="60">
        <f>Respuestas!X461</f>
        <v/>
      </c>
      <c r="N39" s="60">
        <f>Respuestas!P463</f>
        <v/>
      </c>
      <c r="O39" s="7" t="n"/>
    </row>
    <row r="40" ht="12.75" customHeight="1" s="110">
      <c r="B40" s="55" t="inlineStr">
        <is>
          <t>WRK (Interferencia laboral)</t>
        </is>
      </c>
      <c r="C40" s="55" t="n"/>
      <c r="D40" s="55" t="n"/>
      <c r="E40" s="56">
        <f>Respuestas!V148</f>
        <v/>
      </c>
      <c r="F40" s="57">
        <f>Respuestas!Y148</f>
        <v/>
      </c>
      <c r="G40" s="57">
        <f>Respuestas!Z148</f>
        <v/>
      </c>
      <c r="H40" s="7" t="n"/>
      <c r="I40" s="6" t="inlineStr">
        <is>
          <t>Sc4: Ausencia del control del yo, conativo</t>
        </is>
      </c>
      <c r="J40" s="6" t="n"/>
      <c r="K40" s="6" t="n"/>
      <c r="L40" s="6" t="n"/>
      <c r="M40" s="60">
        <f>Respuestas!X465</f>
        <v/>
      </c>
      <c r="N40" s="60">
        <f>Respuestas!P467</f>
        <v/>
      </c>
      <c r="O40" s="7" t="n"/>
    </row>
    <row r="41" ht="12.75" customHeight="1" s="110">
      <c r="B41" s="55" t="inlineStr">
        <is>
          <t>TRT(Indicadores negativos de tratam.)</t>
        </is>
      </c>
      <c r="C41" s="55" t="n"/>
      <c r="D41" s="55" t="n"/>
      <c r="E41" s="56">
        <f>Respuestas!V150</f>
        <v/>
      </c>
      <c r="F41" s="57">
        <f>Respuestas!Y150</f>
        <v/>
      </c>
      <c r="G41" s="57">
        <f>Respuestas!Z150</f>
        <v/>
      </c>
      <c r="H41" s="7" t="n"/>
      <c r="I41" s="6" t="inlineStr">
        <is>
          <t>Sc5: Ausencia del control del yo, inhibición defectual</t>
        </is>
      </c>
      <c r="J41" s="6" t="n"/>
      <c r="K41" s="6" t="n"/>
      <c r="L41" s="6" t="n"/>
      <c r="M41" s="60">
        <f>Respuestas!X469</f>
        <v/>
      </c>
      <c r="N41" s="60">
        <f>Respuestas!P471</f>
        <v/>
      </c>
      <c r="O41" s="7" t="n"/>
    </row>
    <row r="42" ht="12.75" customHeight="1" s="110">
      <c r="B42" s="39" t="n"/>
      <c r="C42" s="39" t="n"/>
      <c r="D42" s="39" t="n"/>
      <c r="E42" s="43" t="n"/>
      <c r="F42" s="44" t="n"/>
      <c r="G42" s="44" t="n"/>
      <c r="H42" s="7" t="n"/>
      <c r="I42" s="6" t="inlineStr">
        <is>
          <t>Sc6: Experiencias sensoriales bizarras.</t>
        </is>
      </c>
      <c r="J42" s="6" t="n"/>
      <c r="K42" s="6" t="n"/>
      <c r="L42" s="7" t="n"/>
      <c r="M42" s="60">
        <f>Respuestas!X474</f>
        <v/>
      </c>
      <c r="N42" s="60">
        <f>Respuestas!P476</f>
        <v/>
      </c>
      <c r="O42" s="7" t="n"/>
    </row>
    <row r="43" ht="12.75" customHeight="1" s="110">
      <c r="B43" s="65" t="inlineStr">
        <is>
          <t>Indice de Goughs:</t>
        </is>
      </c>
      <c r="C43" s="66" t="inlineStr">
        <is>
          <t>F-K</t>
        </is>
      </c>
      <c r="D43" s="67">
        <f>Respuestas!Z152</f>
        <v/>
      </c>
      <c r="E43" s="68" t="n"/>
      <c r="F43" s="69" t="n"/>
      <c r="G43" s="69" t="n"/>
      <c r="H43" s="70" t="n"/>
      <c r="I43" s="7" t="n"/>
      <c r="J43" s="7" t="n"/>
      <c r="K43" s="7" t="n"/>
      <c r="L43" s="7" t="n"/>
      <c r="M43" s="63" t="n"/>
      <c r="N43" s="63" t="n"/>
    </row>
    <row r="44" ht="12.75" customHeight="1" s="110">
      <c r="B44" s="39" t="n"/>
      <c r="C44" s="55" t="n"/>
      <c r="D44" s="39" t="n"/>
      <c r="E44" s="43" t="n"/>
      <c r="F44" s="44" t="n"/>
      <c r="G44" s="44" t="n"/>
      <c r="H44" s="7" t="n"/>
      <c r="I44" s="30" t="inlineStr">
        <is>
          <t>HIPOMANIA</t>
        </is>
      </c>
      <c r="M44" s="63" t="n"/>
      <c r="N44" s="63" t="n"/>
    </row>
    <row r="45" ht="12.75" customHeight="1" s="110">
      <c r="B45" s="39" t="n"/>
      <c r="C45" s="39" t="n"/>
      <c r="D45" s="39" t="n"/>
      <c r="E45" s="43" t="n"/>
      <c r="F45" s="44" t="n"/>
      <c r="G45" s="44" t="n"/>
      <c r="I45" s="6" t="inlineStr">
        <is>
          <t>Ma1: Amoralidad</t>
        </is>
      </c>
      <c r="J45" s="6" t="n"/>
      <c r="M45" s="60">
        <f>Respuestas!X480</f>
        <v/>
      </c>
      <c r="N45" s="60">
        <f>Respuestas!P482</f>
        <v/>
      </c>
    </row>
    <row r="46" ht="12.75" customHeight="1" s="110">
      <c r="B46" s="39" t="n"/>
      <c r="C46" s="39" t="n"/>
      <c r="D46" s="39" t="n"/>
      <c r="E46" s="43" t="n"/>
      <c r="F46" s="44" t="n"/>
      <c r="G46" s="44" t="n"/>
      <c r="I46" s="6" t="inlineStr">
        <is>
          <t>Ma2: Hipercinesia</t>
        </is>
      </c>
      <c r="J46" s="6" t="n"/>
      <c r="M46" s="60">
        <f>Respuestas!X484</f>
        <v/>
      </c>
      <c r="N46" s="60">
        <f>Respuestas!P486</f>
        <v/>
      </c>
    </row>
    <row r="47" ht="12.75" customHeight="1" s="110">
      <c r="B47" s="39" t="n"/>
      <c r="C47" s="39" t="n"/>
      <c r="D47" s="39" t="n"/>
      <c r="E47" s="43" t="n"/>
      <c r="F47" s="44" t="n"/>
      <c r="G47" s="44" t="n"/>
      <c r="I47" s="6" t="inlineStr">
        <is>
          <t>Ma3: Imperturbabilidad</t>
        </is>
      </c>
      <c r="J47" s="6" t="n"/>
      <c r="M47" s="60">
        <f>Respuestas!X488</f>
        <v/>
      </c>
      <c r="N47" s="60">
        <f>Respuestas!P490</f>
        <v/>
      </c>
    </row>
    <row r="48" ht="12.75" customHeight="1" s="110">
      <c r="B48" s="39" t="n"/>
      <c r="C48" s="39" t="n"/>
      <c r="D48" s="39" t="n"/>
      <c r="E48" s="43" t="n"/>
      <c r="F48" s="44" t="n"/>
      <c r="G48" s="44" t="n"/>
      <c r="I48" s="6" t="inlineStr">
        <is>
          <t>Ma4: Hipertrofia del yo.</t>
        </is>
      </c>
      <c r="J48" s="6" t="n"/>
      <c r="M48" s="60">
        <f>Respuestas!X492</f>
        <v/>
      </c>
      <c r="N48" s="60">
        <f>Respuestas!P494</f>
        <v/>
      </c>
    </row>
    <row r="49" ht="12.75" customHeight="1" s="110">
      <c r="B49" s="39" t="n"/>
      <c r="C49" s="39" t="n"/>
      <c r="D49" s="39" t="n"/>
      <c r="E49" s="43" t="n"/>
      <c r="F49" s="44" t="n"/>
      <c r="G49" s="44" t="n"/>
      <c r="M49" s="63" t="n"/>
    </row>
    <row r="50" ht="12.75" customHeight="1" s="110">
      <c r="B50" s="39" t="n"/>
      <c r="C50" s="39" t="n"/>
      <c r="D50" s="39" t="n"/>
      <c r="E50" s="43" t="n"/>
      <c r="F50" s="44" t="n"/>
      <c r="G50" s="44" t="n"/>
      <c r="M50" s="63" t="n"/>
    </row>
    <row r="51" ht="12.75" customHeight="1" s="110">
      <c r="B51" s="39" t="n"/>
      <c r="C51" s="39" t="n"/>
      <c r="D51" s="39" t="n"/>
      <c r="E51" s="43" t="n"/>
      <c r="F51" s="44" t="n"/>
      <c r="G51" s="44" t="n"/>
      <c r="I51" s="30" t="inlineStr">
        <is>
          <t>SUBESCALAS de Ben-Porath, Hosteler, Butcher y Graham (1989)</t>
        </is>
      </c>
      <c r="J51" s="30" t="n"/>
      <c r="K51" s="30" t="n"/>
      <c r="L51" s="30" t="n"/>
      <c r="M51" s="54" t="n"/>
    </row>
    <row r="52" ht="12.75" customHeight="1" s="110">
      <c r="B52" s="39" t="n"/>
      <c r="C52" s="39" t="n"/>
      <c r="D52" s="39" t="n"/>
      <c r="E52" s="43" t="n"/>
      <c r="F52" s="44" t="n"/>
      <c r="G52" s="44" t="n"/>
      <c r="I52" s="30" t="inlineStr">
        <is>
          <t>INTROVERSIÓN SOCIAL</t>
        </is>
      </c>
      <c r="M52" s="63" t="n"/>
    </row>
    <row r="53" ht="12.75" customHeight="1" s="110">
      <c r="B53" s="39" t="n"/>
      <c r="C53" s="39" t="n"/>
      <c r="D53" s="39" t="n"/>
      <c r="E53" s="43" t="n"/>
      <c r="F53" s="44" t="n"/>
      <c r="G53" s="44" t="n"/>
      <c r="I53" s="6" t="inlineStr">
        <is>
          <t>Si1: Timidez/Autoconciencia</t>
        </is>
      </c>
      <c r="J53" s="6" t="n"/>
      <c r="K53" s="6" t="n"/>
      <c r="M53" s="60">
        <f>Respuestas!X498</f>
        <v/>
      </c>
      <c r="N53" s="60">
        <f>Respuestas!P500</f>
        <v/>
      </c>
    </row>
    <row r="54" ht="12.75" customHeight="1" s="110">
      <c r="B54" s="39" t="n"/>
      <c r="C54" s="39" t="n"/>
      <c r="D54" s="39" t="n"/>
      <c r="E54" s="43" t="n"/>
      <c r="F54" s="44" t="n"/>
      <c r="G54" s="44" t="n"/>
      <c r="I54" s="6" t="inlineStr">
        <is>
          <t>Si2: Evitación Social.</t>
        </is>
      </c>
      <c r="J54" s="6" t="n"/>
      <c r="M54" s="60">
        <f>Respuestas!X502</f>
        <v/>
      </c>
      <c r="N54" s="60">
        <f>Respuestas!P504</f>
        <v/>
      </c>
    </row>
    <row r="55" ht="12.75" customHeight="1" s="110">
      <c r="B55" s="39" t="n"/>
      <c r="C55" s="39" t="n"/>
      <c r="D55" s="39" t="n"/>
      <c r="E55" s="43" t="n"/>
      <c r="F55" s="44" t="n"/>
      <c r="G55" s="44" t="n"/>
      <c r="I55" s="6" t="inlineStr">
        <is>
          <t>Si3: Autoalienación/ alienación de los otros.</t>
        </is>
      </c>
      <c r="J55" s="6" t="n"/>
      <c r="K55" s="6" t="n"/>
      <c r="L55" s="6" t="n"/>
      <c r="M55" s="60">
        <f>Respuestas!X506</f>
        <v/>
      </c>
      <c r="N55" s="60">
        <f>Respuestas!P508</f>
        <v/>
      </c>
    </row>
    <row r="56" ht="12.75" customHeight="1" s="110">
      <c r="B56" s="39" t="n"/>
      <c r="C56" s="39" t="n"/>
      <c r="D56" s="39" t="n"/>
      <c r="E56" s="43" t="n"/>
      <c r="F56" s="44" t="n"/>
      <c r="G56" s="44" t="n"/>
    </row>
    <row r="57" ht="12.75" customHeight="1" s="110">
      <c r="B57" s="39" t="n"/>
      <c r="C57" s="39" t="n"/>
      <c r="D57" s="39" t="n"/>
      <c r="E57" s="43" t="n"/>
      <c r="F57" s="44" t="n"/>
      <c r="G57" s="44" t="n"/>
    </row>
    <row r="58" ht="12.75" customHeight="1" s="110">
      <c r="B58" s="39" t="n"/>
      <c r="C58" s="39" t="n"/>
      <c r="D58" s="39" t="n"/>
      <c r="E58" s="43" t="n"/>
      <c r="F58" s="44" t="n"/>
      <c r="G58" s="44" t="n"/>
    </row>
    <row r="59" ht="12.75" customHeight="1" s="110">
      <c r="A59" s="71" t="inlineStr">
        <is>
          <t>JIRS</t>
        </is>
      </c>
      <c r="B59" s="39" t="n"/>
      <c r="C59" s="39" t="n"/>
      <c r="D59" s="39" t="n"/>
      <c r="E59" s="43" t="n"/>
      <c r="F59" s="44" t="n"/>
      <c r="G59" s="44" t="n"/>
      <c r="L59" s="9" t="n"/>
      <c r="M59" s="6" t="n"/>
    </row>
    <row r="60" ht="12.75" customHeight="1" s="110">
      <c r="B60" s="39" t="n"/>
      <c r="C60" s="39" t="n"/>
      <c r="D60" s="72" t="n"/>
      <c r="E60" s="43" t="n"/>
      <c r="F60" s="44" t="n"/>
      <c r="G60" s="44" t="n"/>
    </row>
    <row r="61" ht="12.75" customHeight="1" s="110">
      <c r="E61" s="32" t="n"/>
      <c r="F61" s="33" t="n"/>
      <c r="G61" s="33" t="n"/>
    </row>
    <row r="62" ht="12.75" customHeight="1" s="110">
      <c r="E62" s="32" t="n"/>
      <c r="F62" s="33" t="n"/>
      <c r="G62" s="33" t="n"/>
    </row>
    <row r="63" ht="12.75" customHeight="1" s="110">
      <c r="C63" s="73" t="inlineStr">
        <is>
          <t>Fdo.</t>
        </is>
      </c>
      <c r="E63" s="32" t="n"/>
      <c r="F63" s="33" t="n"/>
      <c r="G63" s="33" t="n"/>
      <c r="I63" s="73" t="inlineStr">
        <is>
          <t>Fdo.</t>
        </is>
      </c>
      <c r="J63" s="6" t="n"/>
      <c r="K63" s="6" t="n"/>
      <c r="L63" s="6" t="n"/>
      <c r="M63" s="6" t="n"/>
    </row>
    <row r="64" ht="12.75" customHeight="1" s="110">
      <c r="E64" s="32" t="n"/>
      <c r="F64" s="33" t="n"/>
      <c r="G64" s="33" t="n"/>
    </row>
    <row r="65" ht="12.75" customHeight="1" s="110">
      <c r="E65" s="32" t="n"/>
      <c r="F65" s="33" t="n"/>
      <c r="G65" s="33" t="n"/>
      <c r="J65" s="38" t="inlineStr">
        <is>
          <t>MMPI -2</t>
        </is>
      </c>
    </row>
    <row r="66" ht="12.75" customHeight="1" s="110">
      <c r="C66" s="38" t="inlineStr">
        <is>
          <t>MMPI-2</t>
        </is>
      </c>
      <c r="E66" s="32" t="n"/>
      <c r="F66" s="33" t="n"/>
      <c r="G66" s="33" t="n"/>
    </row>
    <row r="67" ht="12.75" customHeight="1" s="110">
      <c r="E67" s="32" t="n"/>
      <c r="F67" s="33" t="n"/>
      <c r="G67" s="33" t="n"/>
      <c r="I67" s="4" t="inlineStr">
        <is>
          <t xml:space="preserve">Cliente: </t>
        </is>
      </c>
    </row>
    <row r="68" ht="12.75" customHeight="1" s="110">
      <c r="A68" s="4" t="inlineStr">
        <is>
          <t>Cliente:</t>
        </is>
      </c>
      <c r="B68" s="6" t="n"/>
      <c r="C68" s="6" t="n"/>
      <c r="D68" s="6" t="n"/>
      <c r="E68" s="74" t="n"/>
      <c r="F68" s="75" t="n"/>
      <c r="G68" s="75" t="n"/>
      <c r="I68" s="4" t="inlineStr">
        <is>
          <t>Evaluador:</t>
        </is>
      </c>
    </row>
    <row r="69" ht="12.75" customHeight="1" s="110">
      <c r="A69" s="4" t="inlineStr">
        <is>
          <t>Edad:</t>
        </is>
      </c>
      <c r="B69" s="7" t="n"/>
      <c r="C69" s="7" t="n"/>
      <c r="D69" s="7" t="n"/>
      <c r="E69" s="32" t="n"/>
      <c r="F69" s="33" t="n"/>
      <c r="G69" s="33" t="n"/>
    </row>
    <row r="70" ht="12.75" customHeight="1" s="110">
      <c r="A70" s="4" t="inlineStr">
        <is>
          <t>Fecha:</t>
        </is>
      </c>
      <c r="B70" s="9" t="n"/>
      <c r="C70" s="6" t="n"/>
      <c r="D70" s="7" t="n"/>
      <c r="E70" s="32" t="n"/>
      <c r="F70" s="33" t="n"/>
      <c r="G70" s="33" t="n"/>
      <c r="I70" s="76" t="inlineStr">
        <is>
          <t>ITEMS CRITICOS DE KOSS - BUTCHER</t>
        </is>
      </c>
      <c r="J70" s="77" t="n"/>
      <c r="K70" s="77" t="n"/>
      <c r="L70" s="77" t="n"/>
    </row>
    <row r="71" ht="8.25" customHeight="1" s="110">
      <c r="B71" s="7" t="n"/>
      <c r="C71" s="7" t="n"/>
      <c r="D71" s="7" t="n"/>
      <c r="E71" s="32" t="n"/>
      <c r="F71" s="33" t="n"/>
      <c r="G71" s="33" t="n"/>
      <c r="H71" s="59" t="n"/>
      <c r="I71" s="59" t="n"/>
      <c r="J71" s="59" t="n"/>
      <c r="K71" s="59" t="n"/>
      <c r="L71" s="59" t="n"/>
      <c r="M71" s="59" t="n"/>
      <c r="N71" s="59" t="n"/>
      <c r="O71" s="59" t="n"/>
    </row>
    <row r="72" ht="12.75" customHeight="1" s="110">
      <c r="A72" s="4" t="inlineStr">
        <is>
          <t>Evaluador:</t>
        </is>
      </c>
      <c r="B72" s="6" t="n"/>
      <c r="C72" s="6" t="n"/>
      <c r="D72" s="6" t="n"/>
      <c r="E72" s="74" t="n"/>
      <c r="F72" s="75" t="n"/>
      <c r="G72" s="75" t="n"/>
      <c r="H72" s="30" t="inlineStr">
        <is>
          <t>Estado de Ansiedad Aguda</t>
        </is>
      </c>
      <c r="I72" s="7" t="n"/>
      <c r="J72" s="78" t="n"/>
      <c r="K72" s="78" t="n"/>
      <c r="L72" s="78" t="n"/>
      <c r="M72" s="78" t="n"/>
      <c r="N72" s="59" t="n"/>
      <c r="O72" s="59" t="n"/>
    </row>
    <row r="73" ht="12.75" customHeight="1" s="110">
      <c r="E73" s="32" t="n"/>
      <c r="F73" s="33" t="n"/>
      <c r="G73" s="33" t="n"/>
      <c r="H73" s="26">
        <f>Respuestas!C514</f>
        <v/>
      </c>
      <c r="I73" s="78" t="n"/>
      <c r="J73" s="78" t="n"/>
      <c r="K73" s="78" t="n"/>
      <c r="L73" s="78" t="n"/>
      <c r="M73" s="78" t="n"/>
      <c r="N73" s="59" t="n"/>
      <c r="O73" s="59" t="n"/>
    </row>
    <row r="74" ht="12.75" customHeight="1" s="110">
      <c r="A74" s="79" t="inlineStr">
        <is>
          <t>Escalas Suplementarias</t>
        </is>
      </c>
      <c r="B74" s="80" t="n"/>
      <c r="C74" s="6" t="n"/>
      <c r="D74" s="6" t="n"/>
      <c r="E74" s="81" t="inlineStr">
        <is>
          <t>P.Directas</t>
        </is>
      </c>
      <c r="F74" s="82" t="inlineStr">
        <is>
          <t>P.Típicas</t>
        </is>
      </c>
      <c r="G74" s="33" t="n"/>
      <c r="H74" s="26">
        <f>Respuestas!C515</f>
        <v/>
      </c>
      <c r="I74" s="78" t="n"/>
      <c r="J74" s="78" t="n"/>
      <c r="K74" s="78" t="n"/>
      <c r="L74" s="78" t="n"/>
      <c r="M74" s="78" t="n"/>
      <c r="N74" s="59" t="n"/>
      <c r="O74" s="59" t="n"/>
    </row>
    <row r="75" ht="12.75" customHeight="1" s="110">
      <c r="E75" s="32" t="n"/>
      <c r="F75" s="33" t="n"/>
      <c r="G75" s="33" t="n"/>
      <c r="H75" s="26">
        <f>Respuestas!C516</f>
        <v/>
      </c>
      <c r="I75" s="78" t="n"/>
      <c r="J75" s="78" t="n"/>
      <c r="K75" s="78" t="n"/>
      <c r="L75" s="78" t="n"/>
      <c r="M75" s="78" t="n"/>
      <c r="N75" s="59" t="n"/>
      <c r="O75" s="59" t="n"/>
    </row>
    <row r="76" ht="12.75" customHeight="1" s="110">
      <c r="A76" s="8" t="inlineStr">
        <is>
          <t>A (Ansiedad)</t>
        </is>
      </c>
      <c r="B76" s="8" t="n"/>
      <c r="C76" s="8" t="n"/>
      <c r="D76" s="8" t="n"/>
      <c r="E76" s="83">
        <f>Respuestas!X242</f>
        <v/>
      </c>
      <c r="F76" s="84">
        <f>Respuestas!P244</f>
        <v/>
      </c>
      <c r="G76" s="33" t="n"/>
      <c r="H76" s="26">
        <f>Respuestas!C517</f>
        <v/>
      </c>
      <c r="I76" s="78" t="n"/>
      <c r="J76" s="78" t="n"/>
      <c r="K76" s="78" t="n"/>
      <c r="L76" s="78" t="n"/>
      <c r="M76" s="78" t="n"/>
      <c r="N76" s="59" t="n"/>
      <c r="O76" s="59" t="n"/>
    </row>
    <row r="77" ht="12.75" customHeight="1" s="110">
      <c r="A77" s="8" t="inlineStr">
        <is>
          <t>R (Represión)</t>
        </is>
      </c>
      <c r="B77" s="8" t="n"/>
      <c r="C77" s="8" t="n"/>
      <c r="D77" s="8" t="n"/>
      <c r="E77" s="83">
        <f>Respuestas!X248</f>
        <v/>
      </c>
      <c r="F77" s="84">
        <f>Respuestas!P250</f>
        <v/>
      </c>
      <c r="G77" s="33" t="n"/>
      <c r="H77" s="26">
        <f>Respuestas!C518</f>
        <v/>
      </c>
      <c r="I77" s="78" t="n"/>
      <c r="J77" s="78" t="n"/>
      <c r="K77" s="78" t="n"/>
      <c r="L77" s="78" t="n"/>
      <c r="M77" s="78" t="n"/>
      <c r="N77" s="59" t="n"/>
      <c r="O77" s="59" t="n"/>
    </row>
    <row r="78" ht="12.75" customHeight="1" s="110">
      <c r="A78" s="8" t="inlineStr">
        <is>
          <t>Es (Fuerza del Yo)</t>
        </is>
      </c>
      <c r="B78" s="8" t="n"/>
      <c r="C78" s="8" t="n"/>
      <c r="D78" s="8" t="n"/>
      <c r="E78" s="83">
        <f>Respuestas!X255</f>
        <v/>
      </c>
      <c r="F78" s="84">
        <f>Respuestas!P257</f>
        <v/>
      </c>
      <c r="G78" s="33" t="n"/>
      <c r="H78" s="26">
        <f>Respuestas!C519</f>
        <v/>
      </c>
      <c r="I78" s="78" t="n"/>
      <c r="J78" s="78" t="n"/>
      <c r="K78" s="78" t="n"/>
      <c r="L78" s="78" t="n"/>
      <c r="M78" s="78" t="n"/>
      <c r="N78" s="59" t="n"/>
      <c r="O78" s="59" t="n"/>
    </row>
    <row r="79" ht="12.75" customHeight="1" s="110">
      <c r="A79" s="8" t="inlineStr">
        <is>
          <t>MAC-R (Alcoholismo MacAndrew Revisada)</t>
        </is>
      </c>
      <c r="B79" s="8" t="n"/>
      <c r="C79" s="8" t="n"/>
      <c r="D79" s="8" t="n"/>
      <c r="E79" s="83">
        <f>Respuestas!X262</f>
        <v/>
      </c>
      <c r="F79" s="84">
        <f>Respuestas!P264</f>
        <v/>
      </c>
      <c r="G79" s="33" t="n"/>
      <c r="H79" s="26">
        <f>Respuestas!C520</f>
        <v/>
      </c>
      <c r="I79" s="78" t="n"/>
      <c r="J79" s="78" t="n"/>
      <c r="K79" s="78" t="n"/>
      <c r="L79" s="78" t="n"/>
      <c r="M79" s="78" t="n"/>
      <c r="N79" s="59" t="n"/>
      <c r="O79" s="59" t="n"/>
    </row>
    <row r="80" ht="12.75" customHeight="1" s="110">
      <c r="A80" s="8" t="inlineStr">
        <is>
          <t>AAS (Reconocimiento de la Adicción)</t>
        </is>
      </c>
      <c r="B80" s="8" t="n"/>
      <c r="C80" s="8" t="n"/>
      <c r="D80" s="8" t="n"/>
      <c r="E80" s="83">
        <f>Respuestas!X267</f>
        <v/>
      </c>
      <c r="F80" s="84">
        <f>Respuestas!P269</f>
        <v/>
      </c>
      <c r="G80" s="33" t="n"/>
      <c r="H80" s="26">
        <f>Respuestas!C521</f>
        <v/>
      </c>
      <c r="I80" s="78" t="n"/>
      <c r="J80" s="78" t="n"/>
      <c r="K80" s="78" t="n"/>
      <c r="L80" s="78" t="n"/>
      <c r="M80" s="78" t="n"/>
      <c r="N80" s="59" t="n"/>
      <c r="O80" s="59" t="n"/>
    </row>
    <row r="81" ht="12.75" customHeight="1" s="110">
      <c r="A81" s="8" t="inlineStr">
        <is>
          <t>APS (Potencial Adictivo)</t>
        </is>
      </c>
      <c r="B81" s="8" t="n"/>
      <c r="C81" s="8" t="n"/>
      <c r="D81" s="8" t="n"/>
      <c r="E81" s="83">
        <f>Respuestas!X274</f>
        <v/>
      </c>
      <c r="F81" s="84">
        <f>Respuestas!P276</f>
        <v/>
      </c>
      <c r="G81" s="33" t="n"/>
      <c r="H81" s="26">
        <f>Respuestas!C522</f>
        <v/>
      </c>
      <c r="I81" s="78" t="n"/>
      <c r="J81" s="78" t="n"/>
      <c r="K81" s="78" t="n"/>
      <c r="L81" s="78" t="n"/>
      <c r="M81" s="78" t="n"/>
      <c r="N81" s="59" t="n"/>
      <c r="O81" s="59" t="n"/>
    </row>
    <row r="82" ht="12.75" customHeight="1" s="110">
      <c r="A82" s="8" t="inlineStr">
        <is>
          <t>MDS (Malestar Marital)</t>
        </is>
      </c>
      <c r="B82" s="8" t="n"/>
      <c r="C82" s="8" t="n"/>
      <c r="D82" s="8" t="n"/>
      <c r="E82" s="83">
        <f>Respuestas!X279</f>
        <v/>
      </c>
      <c r="F82" s="84">
        <f>Respuestas!P281</f>
        <v/>
      </c>
      <c r="G82" s="33" t="n"/>
      <c r="H82" s="26">
        <f>Respuestas!C523</f>
        <v/>
      </c>
      <c r="I82" s="78" t="n"/>
      <c r="J82" s="78" t="n"/>
      <c r="K82" s="78" t="n"/>
      <c r="L82" s="78" t="n"/>
      <c r="M82" s="78" t="n"/>
      <c r="N82" s="59" t="n"/>
      <c r="O82" s="59" t="n"/>
    </row>
    <row r="83" ht="12.75" customHeight="1" s="110">
      <c r="A83" s="8" t="inlineStr">
        <is>
          <t>Ho (Hostilidad)</t>
        </is>
      </c>
      <c r="B83" s="8" t="n"/>
      <c r="C83" s="8" t="n"/>
      <c r="D83" s="8" t="n"/>
      <c r="E83" s="83">
        <f>Respuestas!X286</f>
        <v/>
      </c>
      <c r="F83" s="84">
        <f>Respuestas!P288</f>
        <v/>
      </c>
      <c r="G83" s="33" t="n"/>
      <c r="H83" s="26">
        <f>Respuestas!C524</f>
        <v/>
      </c>
      <c r="I83" s="78" t="n"/>
      <c r="J83" s="78" t="n"/>
      <c r="K83" s="78" t="n"/>
      <c r="L83" s="78" t="n"/>
      <c r="M83" s="78" t="n"/>
      <c r="N83" s="59" t="n"/>
      <c r="O83" s="59" t="n"/>
    </row>
    <row r="84" ht="12.75" customHeight="1" s="110">
      <c r="A84" s="8" t="inlineStr">
        <is>
          <t>O-H (Hostilidad Sobrecontrolada)</t>
        </is>
      </c>
      <c r="B84" s="8" t="n"/>
      <c r="C84" s="8" t="n"/>
      <c r="D84" s="8" t="n"/>
      <c r="E84" s="83">
        <f>Respuestas!X292</f>
        <v/>
      </c>
      <c r="F84" s="84">
        <f>Respuestas!P294</f>
        <v/>
      </c>
      <c r="G84" s="33" t="n"/>
      <c r="H84" s="26">
        <f>Respuestas!C525</f>
        <v/>
      </c>
      <c r="I84" s="78" t="n"/>
      <c r="J84" s="78" t="n"/>
      <c r="K84" s="78" t="n"/>
      <c r="L84" s="78" t="n"/>
      <c r="M84" s="78" t="n"/>
      <c r="N84" s="59" t="n"/>
      <c r="O84" s="59" t="n"/>
    </row>
    <row r="85" ht="12.75" customHeight="1" s="110">
      <c r="A85" s="8" t="inlineStr">
        <is>
          <t>Do (Dominancia)</t>
        </is>
      </c>
      <c r="B85" s="8" t="n"/>
      <c r="C85" s="8" t="n"/>
      <c r="D85" s="8" t="n"/>
      <c r="E85" s="83">
        <f>Respuestas!X298</f>
        <v/>
      </c>
      <c r="F85" s="84">
        <f>Respuestas!P300</f>
        <v/>
      </c>
      <c r="G85" s="33" t="n"/>
      <c r="H85" s="26">
        <f>Respuestas!C526</f>
        <v/>
      </c>
      <c r="I85" s="78" t="n"/>
      <c r="J85" s="78" t="n"/>
      <c r="K85" s="78" t="n"/>
      <c r="L85" s="78" t="n"/>
      <c r="M85" s="78" t="n"/>
      <c r="N85" s="59" t="n"/>
      <c r="O85" s="59" t="n"/>
    </row>
    <row r="86" ht="12.75" customHeight="1" s="110">
      <c r="A86" s="8" t="inlineStr">
        <is>
          <t>Re (Responsabilidad)</t>
        </is>
      </c>
      <c r="B86" s="8" t="n"/>
      <c r="C86" s="8" t="n"/>
      <c r="D86" s="8" t="n"/>
      <c r="E86" s="83">
        <f>Respuestas!X304</f>
        <v/>
      </c>
      <c r="F86" s="84">
        <f>Respuestas!P306</f>
        <v/>
      </c>
      <c r="G86" s="33" t="n"/>
      <c r="H86" s="26">
        <f>Respuestas!C527</f>
        <v/>
      </c>
      <c r="I86" s="78" t="n"/>
      <c r="J86" s="78" t="n"/>
      <c r="K86" s="78" t="n"/>
      <c r="L86" s="78" t="n"/>
      <c r="M86" s="78" t="n"/>
      <c r="N86" s="59" t="n"/>
      <c r="O86" s="59" t="n"/>
    </row>
    <row r="87" ht="12.75" customHeight="1" s="110">
      <c r="A87" s="8" t="inlineStr">
        <is>
          <t>Mt (Desajuste Escolar)</t>
        </is>
      </c>
      <c r="B87" s="8" t="n"/>
      <c r="C87" s="8" t="n"/>
      <c r="D87" s="8" t="n"/>
      <c r="E87" s="83">
        <f>Respuestas!X311</f>
        <v/>
      </c>
      <c r="F87" s="84">
        <f>Respuestas!P313</f>
        <v/>
      </c>
      <c r="G87" s="33" t="n"/>
      <c r="H87" s="26">
        <f>Respuestas!C528</f>
        <v/>
      </c>
      <c r="I87" s="78" t="n"/>
      <c r="J87" s="78" t="n"/>
      <c r="K87" s="78" t="n"/>
      <c r="L87" s="78" t="n"/>
      <c r="M87" s="78" t="n"/>
      <c r="N87" s="59" t="n"/>
      <c r="O87" s="59" t="n"/>
    </row>
    <row r="88" ht="12.75" customHeight="1" s="110">
      <c r="A88" s="8" t="inlineStr">
        <is>
          <t>GM (Rol Género Masculino)</t>
        </is>
      </c>
      <c r="B88" s="8" t="n"/>
      <c r="C88" s="8" t="n"/>
      <c r="D88" s="8" t="n"/>
      <c r="E88" s="83">
        <f>Respuestas!X318</f>
        <v/>
      </c>
      <c r="F88" s="84">
        <f>Respuestas!P320</f>
        <v/>
      </c>
      <c r="G88" s="33" t="n"/>
      <c r="H88" s="26">
        <f>Respuestas!C529</f>
        <v/>
      </c>
      <c r="I88" s="78" t="n"/>
      <c r="J88" s="78" t="n"/>
      <c r="K88" s="78" t="n"/>
      <c r="L88" s="78" t="n"/>
      <c r="M88" s="78" t="n"/>
      <c r="N88" s="59" t="n"/>
      <c r="O88" s="59" t="n"/>
    </row>
    <row r="89" ht="12.75" customHeight="1" s="110">
      <c r="A89" s="8" t="inlineStr">
        <is>
          <t>GF (Rol Género Femenino)</t>
        </is>
      </c>
      <c r="B89" s="8" t="n"/>
      <c r="C89" s="8" t="n"/>
      <c r="D89" s="8" t="n"/>
      <c r="E89" s="83">
        <f>Respuestas!X325</f>
        <v/>
      </c>
      <c r="F89" s="84">
        <f>Respuestas!P327</f>
        <v/>
      </c>
      <c r="G89" s="33" t="n"/>
      <c r="H89" s="26">
        <f>Respuestas!C530</f>
        <v/>
      </c>
      <c r="I89" s="78" t="n"/>
      <c r="J89" s="78" t="n"/>
      <c r="K89" s="78" t="n"/>
      <c r="L89" s="78" t="n"/>
      <c r="M89" s="78" t="n"/>
      <c r="N89" s="59" t="n"/>
      <c r="O89" s="59" t="n"/>
    </row>
    <row r="90" ht="12.75" customHeight="1" s="110">
      <c r="A90" s="85" t="inlineStr">
        <is>
          <t>EPK (Estrés Postraumático de Keane)</t>
        </is>
      </c>
      <c r="B90" s="8" t="n"/>
      <c r="C90" s="8" t="n"/>
      <c r="D90" s="8" t="n"/>
      <c r="E90" s="83">
        <f>Respuestas!X235</f>
        <v/>
      </c>
      <c r="F90" s="84">
        <f>Respuestas!P237</f>
        <v/>
      </c>
      <c r="G90" s="33" t="n"/>
      <c r="H90" s="30" t="inlineStr">
        <is>
          <t>Ideación Suicida Depresiva</t>
        </is>
      </c>
      <c r="I90" s="7" t="n"/>
      <c r="J90" s="78" t="n"/>
      <c r="K90" s="78" t="n"/>
      <c r="L90" s="78" t="n"/>
      <c r="M90" s="78" t="n"/>
      <c r="N90" s="59" t="n"/>
      <c r="O90" s="59" t="n"/>
    </row>
    <row r="91" ht="12.75" customHeight="1" s="110">
      <c r="E91" s="32" t="n"/>
      <c r="F91" s="33" t="n"/>
      <c r="G91" s="33" t="n"/>
      <c r="H91" s="26">
        <f>Respuestas!C533</f>
        <v/>
      </c>
      <c r="I91" s="78" t="n"/>
      <c r="J91" s="78" t="n"/>
      <c r="K91" s="78" t="n"/>
      <c r="L91" s="78" t="n"/>
      <c r="M91" s="78" t="n"/>
      <c r="N91" s="59" t="n"/>
      <c r="O91" s="59" t="n"/>
    </row>
    <row r="92" ht="12.75" customHeight="1" s="110">
      <c r="A92" s="86" t="inlineStr">
        <is>
          <t>Otras escalas de validez</t>
        </is>
      </c>
      <c r="B92" s="87" t="n"/>
      <c r="E92" s="32" t="n"/>
      <c r="F92" s="33" t="n"/>
      <c r="G92" s="33" t="n"/>
      <c r="H92" s="26">
        <f>Respuestas!C534</f>
        <v/>
      </c>
      <c r="I92" s="78" t="n"/>
      <c r="J92" s="78" t="n"/>
      <c r="K92" s="78" t="n"/>
      <c r="L92" s="78" t="n"/>
      <c r="M92" s="78" t="n"/>
      <c r="N92" s="59" t="n"/>
      <c r="O92" s="59" t="n"/>
    </row>
    <row r="93" ht="12.75" customHeight="1" s="110">
      <c r="E93" s="32" t="n"/>
      <c r="F93" s="33" t="n"/>
      <c r="G93" s="33" t="n"/>
      <c r="H93" s="26">
        <f>Respuestas!C535</f>
        <v/>
      </c>
      <c r="I93" s="78" t="n"/>
      <c r="J93" s="78" t="n"/>
      <c r="K93" s="78" t="n"/>
      <c r="L93" s="78" t="n"/>
      <c r="M93" s="78" t="n"/>
      <c r="N93" s="59" t="n"/>
      <c r="O93" s="59" t="n"/>
    </row>
    <row r="94" ht="12.75" customHeight="1" s="110">
      <c r="A94" s="30" t="inlineStr">
        <is>
          <t>VRIN - INVAR (Variable de inconsistencia de respuesta)</t>
        </is>
      </c>
      <c r="B94" s="30" t="n"/>
      <c r="C94" s="30" t="n"/>
      <c r="D94" s="30" t="n"/>
      <c r="E94" s="83">
        <f>Respuestas!U219</f>
        <v/>
      </c>
      <c r="F94" s="84">
        <f>Respuestas!V221</f>
        <v/>
      </c>
      <c r="G94" s="33" t="n"/>
      <c r="H94" s="26">
        <f>Respuestas!C536</f>
        <v/>
      </c>
      <c r="I94" s="78" t="n"/>
      <c r="J94" s="78" t="n"/>
      <c r="K94" s="78" t="n"/>
      <c r="L94" s="78" t="n"/>
      <c r="M94" s="78" t="n"/>
      <c r="N94" s="59" t="n"/>
      <c r="O94" s="59" t="n"/>
    </row>
    <row r="95" ht="12.75" customHeight="1" s="110">
      <c r="A95" s="30" t="inlineStr">
        <is>
          <t>TRIN - INVER (Verdadera inconsistencia de respuesta)</t>
        </is>
      </c>
      <c r="B95" s="30" t="n"/>
      <c r="C95" s="30" t="n"/>
      <c r="D95" s="30" t="n"/>
      <c r="E95" s="83">
        <f>Respuestas!I342</f>
        <v/>
      </c>
      <c r="F95" s="88">
        <f>Respuestas!L344</f>
        <v/>
      </c>
      <c r="G95" s="33" t="n"/>
      <c r="H95" s="26">
        <f>Respuestas!C537</f>
        <v/>
      </c>
      <c r="I95" s="78" t="n"/>
      <c r="J95" s="78" t="n"/>
      <c r="K95" s="78" t="n"/>
      <c r="L95" s="78" t="n"/>
      <c r="M95" s="78" t="n"/>
      <c r="N95" s="59" t="n"/>
      <c r="O95" s="59" t="n"/>
    </row>
    <row r="96" ht="12.75" customHeight="1" s="110">
      <c r="A96" s="30" t="inlineStr">
        <is>
          <t xml:space="preserve">Fb o Fp o Fposterior  (Incoherencia 2ª parte) </t>
        </is>
      </c>
      <c r="B96" s="30" t="n"/>
      <c r="C96" s="30" t="n"/>
      <c r="D96" s="30" t="n"/>
      <c r="E96" s="83">
        <f>Respuestas!X350</f>
        <v/>
      </c>
      <c r="F96" s="84">
        <f>Respuestas!P352</f>
        <v/>
      </c>
      <c r="G96" s="33" t="n"/>
      <c r="H96" s="26">
        <f>Respuestas!C538</f>
        <v/>
      </c>
      <c r="I96" s="78" t="n"/>
      <c r="J96" s="78" t="n"/>
      <c r="K96" s="78" t="n"/>
      <c r="L96" s="78" t="n"/>
      <c r="M96" s="78" t="n"/>
      <c r="N96" s="59" t="n"/>
      <c r="O96" s="59" t="n"/>
    </row>
    <row r="97" ht="12.75" customHeight="1" s="110">
      <c r="A97" s="30" t="inlineStr">
        <is>
          <t>Fpsi (Incoherencia - Psicopatología)</t>
        </is>
      </c>
      <c r="B97" s="30" t="n"/>
      <c r="C97" s="30" t="n"/>
      <c r="D97" s="30" t="n"/>
      <c r="E97" s="83">
        <f>Respuestas!X356</f>
        <v/>
      </c>
      <c r="F97" s="84">
        <f>Respuestas!P358</f>
        <v/>
      </c>
      <c r="G97" s="33" t="n"/>
      <c r="H97" s="26">
        <f>Respuestas!C539</f>
        <v/>
      </c>
      <c r="I97" s="78" t="n"/>
      <c r="J97" s="78" t="n"/>
      <c r="K97" s="78" t="n"/>
      <c r="L97" s="78" t="n"/>
      <c r="M97" s="78" t="n"/>
      <c r="N97" s="59" t="n"/>
      <c r="O97" s="59" t="n"/>
    </row>
    <row r="98" ht="12.75" customHeight="1" s="110">
      <c r="A98" s="30" t="inlineStr">
        <is>
          <t>S (Autoconcepto superlativo)</t>
        </is>
      </c>
      <c r="B98" s="30" t="n"/>
      <c r="C98" s="30" t="n"/>
      <c r="D98" s="30" t="n"/>
      <c r="E98" s="83">
        <f>Respuestas!X363</f>
        <v/>
      </c>
      <c r="F98" s="84">
        <f>Respuestas!P365</f>
        <v/>
      </c>
      <c r="G98" s="33" t="n"/>
      <c r="H98" s="26">
        <f>Respuestas!C540</f>
        <v/>
      </c>
      <c r="I98" s="78" t="n"/>
      <c r="J98" s="78" t="n"/>
      <c r="K98" s="78" t="n"/>
      <c r="L98" s="78" t="n"/>
      <c r="M98" s="78" t="n"/>
      <c r="N98" s="59" t="n"/>
      <c r="O98" s="59" t="n"/>
    </row>
    <row r="99" ht="12.75" customHeight="1" s="110">
      <c r="A99" s="6" t="n"/>
      <c r="B99" s="6" t="n"/>
      <c r="C99" s="6" t="n"/>
      <c r="D99" s="6" t="n"/>
      <c r="E99" s="89" t="n"/>
      <c r="F99" s="90" t="n"/>
      <c r="G99" s="33" t="n"/>
      <c r="H99" s="26">
        <f>Respuestas!C541</f>
        <v/>
      </c>
      <c r="I99" s="78" t="n"/>
      <c r="J99" s="78" t="n"/>
      <c r="K99" s="78" t="n"/>
      <c r="L99" s="78" t="n"/>
      <c r="M99" s="78" t="n"/>
      <c r="N99" s="59" t="n"/>
      <c r="O99" s="59" t="n"/>
    </row>
    <row r="100" ht="12.75" customHeight="1" s="110">
      <c r="E100" s="32" t="n"/>
      <c r="F100" s="33" t="n"/>
      <c r="G100" s="33" t="n"/>
      <c r="H100" s="26">
        <f>Respuestas!C542</f>
        <v/>
      </c>
      <c r="I100" s="78" t="n"/>
      <c r="J100" s="78" t="n"/>
      <c r="K100" s="78" t="n"/>
      <c r="L100" s="78" t="n"/>
      <c r="M100" s="78" t="n"/>
      <c r="N100" s="59" t="n"/>
      <c r="O100" s="59" t="n"/>
    </row>
    <row r="101" ht="12.75" customHeight="1" s="110">
      <c r="E101" s="32" t="n"/>
      <c r="F101" s="33" t="n"/>
      <c r="G101" s="33" t="n"/>
      <c r="H101" s="26">
        <f>Respuestas!C543</f>
        <v/>
      </c>
      <c r="I101" s="78" t="n"/>
      <c r="J101" s="78" t="n"/>
      <c r="K101" s="78" t="n"/>
      <c r="L101" s="78" t="n"/>
      <c r="M101" s="78" t="n"/>
      <c r="N101" s="59" t="n"/>
      <c r="O101" s="59" t="n"/>
    </row>
    <row r="102" ht="12.75" customHeight="1" s="110">
      <c r="E102" s="32" t="n"/>
      <c r="F102" s="33" t="n"/>
      <c r="G102" s="33" t="n"/>
      <c r="H102" s="26">
        <f>Respuestas!C544</f>
        <v/>
      </c>
      <c r="I102" s="78" t="n"/>
      <c r="J102" s="78" t="n"/>
      <c r="K102" s="78" t="n"/>
      <c r="L102" s="78" t="n"/>
      <c r="M102" s="78" t="n"/>
      <c r="N102" s="59" t="n"/>
      <c r="O102" s="59" t="n"/>
    </row>
    <row r="103" ht="12.75" customHeight="1" s="110">
      <c r="E103" s="32" t="n"/>
      <c r="F103" s="33" t="n"/>
      <c r="G103" s="33" t="n"/>
      <c r="H103" s="26">
        <f>Respuestas!C545</f>
        <v/>
      </c>
      <c r="I103" s="78" t="n"/>
      <c r="J103" s="78" t="n"/>
      <c r="K103" s="78" t="n"/>
      <c r="L103" s="78" t="n"/>
      <c r="M103" s="78" t="n"/>
      <c r="N103" s="59" t="n"/>
      <c r="O103" s="59" t="n"/>
    </row>
    <row r="104" ht="12.75" customHeight="1" s="110">
      <c r="E104" s="32" t="n"/>
      <c r="F104" s="33" t="n"/>
      <c r="G104" s="33" t="n"/>
      <c r="H104" s="26">
        <f>Respuestas!C546</f>
        <v/>
      </c>
      <c r="I104" s="78" t="n"/>
      <c r="J104" s="78" t="n"/>
      <c r="K104" s="78" t="n"/>
      <c r="L104" s="78" t="n"/>
      <c r="M104" s="78" t="n"/>
      <c r="N104" s="59" t="n"/>
      <c r="O104" s="59" t="n"/>
    </row>
    <row r="105" ht="12.75" customHeight="1" s="110">
      <c r="E105" s="32" t="n"/>
      <c r="F105" s="33" t="n"/>
      <c r="G105" s="33" t="n"/>
      <c r="H105" s="26">
        <f>Respuestas!C547</f>
        <v/>
      </c>
      <c r="I105" s="78" t="n"/>
      <c r="J105" s="78" t="n"/>
      <c r="K105" s="78" t="n"/>
      <c r="L105" s="78" t="n"/>
      <c r="M105" s="78" t="n"/>
      <c r="N105" s="59" t="n"/>
      <c r="O105" s="59" t="n"/>
    </row>
    <row r="106" ht="12.75" customHeight="1" s="110">
      <c r="E106" s="32" t="n"/>
      <c r="F106" s="33" t="n"/>
      <c r="G106" s="33" t="n"/>
      <c r="H106" s="26">
        <f>Respuestas!C548</f>
        <v/>
      </c>
      <c r="I106" s="78" t="n"/>
      <c r="J106" s="78" t="n"/>
      <c r="K106" s="78" t="n"/>
      <c r="L106" s="78" t="n"/>
      <c r="M106" s="78" t="n"/>
      <c r="N106" s="59" t="n"/>
      <c r="O106" s="59" t="n"/>
    </row>
    <row r="107" ht="12.75" customHeight="1" s="110">
      <c r="E107" s="32" t="n"/>
      <c r="F107" s="33" t="n"/>
      <c r="G107" s="33" t="n"/>
      <c r="H107" s="26">
        <f>Respuestas!C549</f>
        <v/>
      </c>
      <c r="I107" s="78" t="n"/>
      <c r="J107" s="78" t="n"/>
      <c r="K107" s="78" t="n"/>
      <c r="L107" s="78" t="n"/>
      <c r="M107" s="78" t="n"/>
      <c r="N107" s="59" t="n"/>
      <c r="O107" s="59" t="n"/>
    </row>
    <row r="108" ht="12.75" customHeight="1" s="110">
      <c r="E108" s="32" t="n"/>
      <c r="F108" s="33" t="n"/>
      <c r="G108" s="33" t="n"/>
      <c r="H108" s="26">
        <f>Respuestas!C550</f>
        <v/>
      </c>
      <c r="I108" s="78" t="n"/>
      <c r="J108" s="78" t="n"/>
      <c r="K108" s="78" t="n"/>
      <c r="L108" s="78" t="n"/>
      <c r="M108" s="78" t="n"/>
      <c r="N108" s="59" t="n"/>
      <c r="O108" s="59" t="n"/>
    </row>
    <row r="109" ht="12.75" customHeight="1" s="110">
      <c r="E109" s="32" t="n"/>
      <c r="F109" s="33" t="n"/>
      <c r="G109" s="33" t="n"/>
      <c r="H109" s="26">
        <f>Respuestas!C551</f>
        <v/>
      </c>
      <c r="I109" s="78" t="n"/>
      <c r="J109" s="78" t="n"/>
      <c r="K109" s="78" t="n"/>
      <c r="L109" s="78" t="n"/>
      <c r="M109" s="78" t="n"/>
      <c r="N109" s="59" t="n"/>
      <c r="O109" s="59" t="n"/>
    </row>
    <row r="110" ht="12.75" customHeight="1" s="110">
      <c r="E110" s="32" t="n"/>
      <c r="F110" s="33" t="n"/>
      <c r="G110" s="33" t="n"/>
      <c r="H110" s="26">
        <f>Respuestas!C552</f>
        <v/>
      </c>
      <c r="I110" s="78" t="n"/>
      <c r="J110" s="78" t="n"/>
      <c r="K110" s="78" t="n"/>
      <c r="L110" s="78" t="n"/>
      <c r="M110" s="78" t="n"/>
      <c r="N110" s="59" t="n"/>
      <c r="O110" s="59" t="n"/>
    </row>
    <row r="111" ht="12.75" customHeight="1" s="110">
      <c r="E111" s="32" t="n"/>
      <c r="F111" s="33" t="n"/>
      <c r="G111" s="33" t="n"/>
      <c r="H111" s="26">
        <f>Respuestas!C553</f>
        <v/>
      </c>
      <c r="I111" s="78" t="n"/>
      <c r="J111" s="78" t="n"/>
      <c r="K111" s="78" t="n"/>
      <c r="L111" s="78" t="n"/>
      <c r="M111" s="78" t="n"/>
      <c r="N111" s="59" t="n"/>
      <c r="O111" s="59" t="n"/>
    </row>
    <row r="112" ht="12.75" customHeight="1" s="110">
      <c r="E112" s="32" t="n"/>
      <c r="F112" s="33" t="n"/>
      <c r="G112" s="33" t="n"/>
      <c r="H112" s="26">
        <f>Respuestas!C554</f>
        <v/>
      </c>
      <c r="I112" s="78" t="n"/>
      <c r="J112" s="78" t="n"/>
      <c r="K112" s="78" t="n"/>
      <c r="L112" s="78" t="n"/>
      <c r="M112" s="78" t="n"/>
      <c r="N112" s="59" t="n"/>
      <c r="O112" s="59" t="n"/>
    </row>
    <row r="113" ht="12.75" customHeight="1" s="110">
      <c r="E113" s="32" t="n"/>
      <c r="F113" s="33" t="n"/>
      <c r="G113" s="33" t="n"/>
      <c r="H113" s="30" t="inlineStr">
        <is>
          <t>Amenazas de Ataque</t>
        </is>
      </c>
      <c r="I113" s="7" t="n"/>
      <c r="J113" s="78" t="n"/>
      <c r="K113" s="78" t="n"/>
      <c r="L113" s="78" t="n"/>
      <c r="M113" s="78" t="n"/>
      <c r="N113" s="59" t="n"/>
      <c r="O113" s="59" t="n"/>
    </row>
    <row r="114" ht="12.75" customHeight="1" s="110">
      <c r="E114" s="32" t="n"/>
      <c r="F114" s="33" t="n"/>
      <c r="G114" s="33" t="n"/>
      <c r="H114" s="26">
        <f>Respuestas!C557</f>
        <v/>
      </c>
      <c r="I114" s="78" t="n"/>
      <c r="J114" s="78" t="n"/>
      <c r="K114" s="78" t="n"/>
      <c r="L114" s="78" t="n"/>
      <c r="M114" s="78" t="n"/>
      <c r="N114" s="59" t="n"/>
      <c r="O114" s="59" t="n"/>
    </row>
    <row r="115" ht="12.75" customHeight="1" s="110">
      <c r="E115" s="32" t="n"/>
      <c r="F115" s="33" t="n"/>
      <c r="G115" s="33" t="n"/>
      <c r="H115" s="26">
        <f>Respuestas!C558</f>
        <v/>
      </c>
      <c r="I115" s="78" t="n"/>
      <c r="J115" s="78" t="n"/>
      <c r="K115" s="78" t="n"/>
      <c r="L115" s="78" t="n"/>
      <c r="M115" s="78" t="n"/>
      <c r="N115" s="59" t="n"/>
      <c r="O115" s="59" t="n"/>
    </row>
    <row r="116" ht="12.75" customHeight="1" s="110">
      <c r="E116" s="32" t="n"/>
      <c r="F116" s="33" t="n"/>
      <c r="G116" s="33" t="n"/>
      <c r="H116" s="26">
        <f>Respuestas!C559</f>
        <v/>
      </c>
      <c r="I116" s="78" t="n"/>
      <c r="J116" s="78" t="n"/>
      <c r="K116" s="78" t="n"/>
      <c r="L116" s="78" t="n"/>
      <c r="M116" s="78" t="n"/>
      <c r="N116" s="59" t="n"/>
      <c r="O116" s="59" t="n"/>
    </row>
    <row r="117" ht="12.75" customHeight="1" s="110">
      <c r="E117" s="32" t="n"/>
      <c r="F117" s="33" t="n"/>
      <c r="G117" s="33" t="n"/>
      <c r="H117" s="26">
        <f>Respuestas!C560</f>
        <v/>
      </c>
      <c r="I117" s="78" t="n"/>
      <c r="J117" s="78" t="n"/>
      <c r="K117" s="78" t="n"/>
      <c r="L117" s="78" t="n"/>
      <c r="M117" s="78" t="n"/>
      <c r="N117" s="59" t="n"/>
      <c r="O117" s="59" t="n"/>
    </row>
    <row r="118" ht="12.75" customHeight="1" s="110">
      <c r="E118" s="32" t="n"/>
      <c r="F118" s="33" t="n"/>
      <c r="G118" s="33" t="n"/>
      <c r="H118" s="26">
        <f>Respuestas!C561</f>
        <v/>
      </c>
      <c r="I118" s="78" t="n"/>
      <c r="J118" s="78" t="n"/>
      <c r="K118" s="78" t="n"/>
      <c r="L118" s="78" t="n"/>
      <c r="M118" s="78" t="n"/>
      <c r="N118" s="59" t="n"/>
      <c r="O118" s="59" t="n"/>
    </row>
    <row r="119" ht="12.75" customHeight="1" s="110">
      <c r="E119" s="32" t="n"/>
      <c r="F119" s="33" t="n"/>
      <c r="G119" s="33" t="n"/>
      <c r="H119" s="30" t="inlineStr">
        <is>
          <t>Estrés situacional debido a Alcoholismo</t>
        </is>
      </c>
      <c r="I119" s="7" t="n"/>
      <c r="J119" s="7" t="n"/>
      <c r="K119" s="7" t="n"/>
      <c r="L119" s="78" t="n"/>
      <c r="M119" s="78" t="n"/>
      <c r="N119" s="59" t="n"/>
      <c r="O119" s="59" t="n"/>
    </row>
    <row r="120" ht="12.75" customHeight="1" s="110">
      <c r="E120" s="32" t="n"/>
      <c r="F120" s="33" t="n"/>
      <c r="G120" s="33" t="n"/>
      <c r="H120" s="26">
        <f>Respuestas!C564</f>
        <v/>
      </c>
      <c r="I120" s="78" t="n"/>
      <c r="J120" s="78" t="n"/>
      <c r="K120" s="78" t="n"/>
      <c r="L120" s="78" t="n"/>
      <c r="M120" s="78" t="n"/>
      <c r="N120" s="59" t="n"/>
      <c r="O120" s="59" t="n"/>
    </row>
    <row r="121" ht="12.75" customHeight="1" s="110">
      <c r="E121" s="32" t="n"/>
      <c r="F121" s="33" t="n"/>
      <c r="G121" s="33" t="n"/>
      <c r="H121" s="26">
        <f>Respuestas!C565</f>
        <v/>
      </c>
      <c r="I121" s="78" t="n"/>
      <c r="J121" s="78" t="n"/>
      <c r="K121" s="78" t="n"/>
      <c r="L121" s="78" t="n"/>
      <c r="M121" s="78" t="n"/>
      <c r="N121" s="59" t="n"/>
      <c r="O121" s="59" t="n"/>
    </row>
    <row r="122" ht="12.75" customHeight="1" s="110">
      <c r="E122" s="32" t="n"/>
      <c r="F122" s="33" t="n"/>
      <c r="G122" s="33" t="n"/>
      <c r="H122" s="26">
        <f>Respuestas!C566</f>
        <v/>
      </c>
      <c r="I122" s="78" t="n"/>
      <c r="J122" s="78" t="n"/>
      <c r="K122" s="78" t="n"/>
      <c r="L122" s="78" t="n"/>
      <c r="M122" s="78" t="n"/>
      <c r="N122" s="59" t="n"/>
      <c r="O122" s="59" t="n"/>
    </row>
    <row r="123" ht="12.75" customHeight="1" s="110">
      <c r="C123" s="73" t="inlineStr">
        <is>
          <t>Fdo.</t>
        </is>
      </c>
      <c r="D123" s="6" t="n"/>
      <c r="E123" s="74" t="n"/>
      <c r="F123" s="75" t="n"/>
      <c r="G123" s="75" t="n"/>
      <c r="H123" s="26">
        <f>Respuestas!C567</f>
        <v/>
      </c>
      <c r="I123" s="78" t="n"/>
      <c r="J123" s="78" t="n"/>
      <c r="K123" s="78" t="n"/>
      <c r="L123" s="78" t="n"/>
      <c r="M123" s="78" t="n"/>
      <c r="N123" s="59" t="n"/>
      <c r="O123" s="59" t="n"/>
    </row>
    <row r="124" ht="12.75" customHeight="1" s="110">
      <c r="E124" s="32" t="n"/>
      <c r="F124" s="33" t="n"/>
      <c r="G124" s="33" t="n"/>
      <c r="H124" s="26">
        <f>Respuestas!C568</f>
        <v/>
      </c>
      <c r="I124" s="78" t="n"/>
      <c r="J124" s="78" t="n"/>
      <c r="K124" s="78" t="n"/>
      <c r="L124" s="78" t="n"/>
      <c r="M124" s="78" t="n"/>
      <c r="N124" s="59" t="n"/>
      <c r="O124" s="59" t="n"/>
    </row>
    <row r="125" ht="12.75" customHeight="1" s="110">
      <c r="E125" s="32" t="n"/>
      <c r="F125" s="33" t="n"/>
      <c r="G125" s="33" t="n"/>
      <c r="H125" s="26">
        <f>Respuestas!C569</f>
        <v/>
      </c>
      <c r="I125" s="78" t="n"/>
      <c r="J125" s="78" t="n"/>
      <c r="K125" s="78" t="n"/>
      <c r="L125" s="78" t="n"/>
      <c r="M125" s="78" t="n"/>
      <c r="N125" s="59" t="n"/>
      <c r="O125" s="59" t="n"/>
    </row>
    <row r="126" ht="12.75" customHeight="1" s="110">
      <c r="E126" s="32" t="n"/>
      <c r="F126" s="33" t="n"/>
      <c r="G126" s="33" t="n"/>
      <c r="H126" s="26">
        <f>Respuestas!C570</f>
        <v/>
      </c>
      <c r="I126" s="78" t="n"/>
      <c r="J126" s="78" t="n"/>
      <c r="K126" s="78" t="n"/>
      <c r="L126" s="78" t="n"/>
      <c r="M126" s="78" t="n"/>
      <c r="N126" s="59" t="n"/>
      <c r="O126" s="59" t="n"/>
    </row>
    <row r="127" ht="12.75" customHeight="1" s="110">
      <c r="D127" s="34" t="inlineStr">
        <is>
          <t>MMPI - 2</t>
        </is>
      </c>
      <c r="E127" s="32" t="n"/>
      <c r="F127" s="33" t="n"/>
      <c r="G127" s="33" t="n"/>
    </row>
    <row r="128" ht="12.75" customHeight="1" s="110">
      <c r="B128" s="4" t="inlineStr">
        <is>
          <t>Cliente:</t>
        </is>
      </c>
      <c r="E128" s="32" t="n"/>
      <c r="F128" s="33" t="n"/>
      <c r="G128" s="33" t="n"/>
      <c r="K128" s="34" t="inlineStr">
        <is>
          <t>MMPI - 2</t>
        </is>
      </c>
    </row>
    <row r="129" ht="12.75" customHeight="1" s="110">
      <c r="B129" s="4" t="inlineStr">
        <is>
          <t>Evaluador:</t>
        </is>
      </c>
      <c r="E129" s="32" t="n"/>
      <c r="F129" s="33" t="n"/>
      <c r="G129" s="33" t="n"/>
      <c r="I129" s="4" t="inlineStr">
        <is>
          <t>Cliente:</t>
        </is>
      </c>
    </row>
    <row r="130" ht="12.75" customHeight="1" s="110">
      <c r="E130" s="32" t="n"/>
      <c r="F130" s="33" t="n"/>
      <c r="G130" s="33" t="n"/>
      <c r="I130" s="4" t="inlineStr">
        <is>
          <t>Evaluador:</t>
        </is>
      </c>
    </row>
    <row r="131" ht="12.75" customHeight="1" s="110">
      <c r="B131" s="76" t="inlineStr">
        <is>
          <t>ITEMS CRITICOS DE KOSS - BUTCHER (CONTINUACIÓN)</t>
        </is>
      </c>
      <c r="C131" s="77" t="n"/>
      <c r="D131" s="77" t="n"/>
      <c r="E131" s="32" t="n"/>
      <c r="F131" s="33" t="n"/>
      <c r="G131" s="33" t="n"/>
    </row>
    <row r="132" ht="12.75" customHeight="1" s="110">
      <c r="E132" s="32" t="n"/>
      <c r="F132" s="33" t="n"/>
      <c r="G132" s="33" t="n"/>
      <c r="I132" s="76" t="inlineStr">
        <is>
          <t>ITEMS CRITICOS DE LACHAR - WROBEL (CONTINUACIÓN-1)</t>
        </is>
      </c>
      <c r="J132" s="77" t="n"/>
      <c r="K132" s="77" t="n"/>
      <c r="L132" s="77" t="n"/>
      <c r="M132" s="77" t="n"/>
    </row>
    <row r="133" ht="12.75" customHeight="1" s="110">
      <c r="A133" s="30" t="inlineStr">
        <is>
          <t>Confusión Mental</t>
        </is>
      </c>
      <c r="B133" s="30" t="n"/>
      <c r="E133" s="32" t="n"/>
      <c r="F133" s="33" t="n"/>
      <c r="G133" s="33" t="n"/>
    </row>
    <row r="134" ht="12.75" customHeight="1" s="110">
      <c r="A134" s="26">
        <f>Respuestas!C573</f>
        <v/>
      </c>
      <c r="B134" s="78" t="n"/>
      <c r="C134" s="78" t="n"/>
      <c r="D134" s="78" t="n"/>
      <c r="E134" s="91" t="n"/>
      <c r="F134" s="92" t="n"/>
      <c r="G134" s="33" t="n"/>
      <c r="H134" s="30" t="inlineStr">
        <is>
          <t>Depresión y preocupación (Continuación)</t>
        </is>
      </c>
    </row>
    <row r="135" ht="12.75" customHeight="1" s="110">
      <c r="A135" s="26">
        <f>Respuestas!C574</f>
        <v/>
      </c>
      <c r="B135" s="78" t="n"/>
      <c r="C135" s="78" t="n"/>
      <c r="D135" s="78" t="n"/>
      <c r="E135" s="91" t="n"/>
      <c r="F135" s="92" t="n"/>
      <c r="G135" s="33" t="n"/>
      <c r="H135" s="26">
        <f>Respuestas!C631</f>
        <v/>
      </c>
    </row>
    <row r="136" ht="12.75" customHeight="1" s="110">
      <c r="A136" s="26">
        <f>Respuestas!C575</f>
        <v/>
      </c>
      <c r="B136" s="78" t="n"/>
      <c r="C136" s="78" t="n"/>
      <c r="D136" s="78" t="n"/>
      <c r="E136" s="91" t="n"/>
      <c r="F136" s="92" t="n"/>
      <c r="G136" s="33" t="n"/>
      <c r="H136" s="26">
        <f>Respuestas!C632</f>
        <v/>
      </c>
    </row>
    <row r="137" ht="12.75" customHeight="1" s="110">
      <c r="A137" s="26">
        <f>Respuestas!C576</f>
        <v/>
      </c>
      <c r="B137" s="78" t="n"/>
      <c r="C137" s="78" t="n"/>
      <c r="D137" s="78" t="n"/>
      <c r="E137" s="91" t="n"/>
      <c r="F137" s="92" t="n"/>
      <c r="G137" s="33" t="n"/>
      <c r="H137" s="26">
        <f>Respuestas!C633</f>
        <v/>
      </c>
    </row>
    <row r="138" ht="12.75" customHeight="1" s="110">
      <c r="A138" s="26">
        <f>Respuestas!C577</f>
        <v/>
      </c>
      <c r="B138" s="78" t="n"/>
      <c r="C138" s="78" t="n"/>
      <c r="D138" s="78" t="n"/>
      <c r="E138" s="91" t="n"/>
      <c r="F138" s="92" t="n"/>
      <c r="G138" s="33" t="n"/>
      <c r="H138" s="30" t="inlineStr">
        <is>
          <t>Trastornos del sueño</t>
        </is>
      </c>
    </row>
    <row r="139" ht="12.75" customHeight="1" s="110">
      <c r="A139" s="26">
        <f>Respuestas!C578</f>
        <v/>
      </c>
      <c r="B139" s="78" t="n"/>
      <c r="C139" s="78" t="n"/>
      <c r="D139" s="78" t="n"/>
      <c r="E139" s="91" t="n"/>
      <c r="F139" s="92" t="n"/>
      <c r="G139" s="33" t="n"/>
      <c r="H139" s="26">
        <f>Respuestas!C636</f>
        <v/>
      </c>
    </row>
    <row r="140" ht="12.75" customHeight="1" s="110">
      <c r="A140" s="26">
        <f>Respuestas!C579</f>
        <v/>
      </c>
      <c r="B140" s="78" t="n"/>
      <c r="C140" s="78" t="n"/>
      <c r="D140" s="78" t="n"/>
      <c r="E140" s="91" t="n"/>
      <c r="F140" s="92" t="n"/>
      <c r="G140" s="33" t="n"/>
      <c r="H140" s="26">
        <f>Respuestas!C637</f>
        <v/>
      </c>
    </row>
    <row r="141" ht="12.75" customHeight="1" s="110">
      <c r="A141" s="26">
        <f>Respuestas!C580</f>
        <v/>
      </c>
      <c r="B141" s="78" t="n"/>
      <c r="C141" s="78" t="n"/>
      <c r="D141" s="78" t="n"/>
      <c r="E141" s="91" t="n"/>
      <c r="F141" s="92" t="n"/>
      <c r="G141" s="33" t="n"/>
      <c r="H141" s="26">
        <f>Respuestas!C638</f>
        <v/>
      </c>
    </row>
    <row r="142" ht="12.75" customHeight="1" s="110">
      <c r="A142" s="26">
        <f>Respuestas!C581</f>
        <v/>
      </c>
      <c r="B142" s="78" t="n"/>
      <c r="C142" s="78" t="n"/>
      <c r="D142" s="78" t="n"/>
      <c r="E142" s="91" t="n"/>
      <c r="F142" s="92" t="n"/>
      <c r="G142" s="33" t="n"/>
      <c r="H142" s="26">
        <f>Respuestas!C639</f>
        <v/>
      </c>
    </row>
    <row r="143" ht="12.75" customHeight="1" s="110">
      <c r="A143" s="93">
        <f>Respuestas!C582</f>
        <v/>
      </c>
      <c r="E143" s="32" t="n"/>
      <c r="F143" s="33" t="n"/>
      <c r="G143" s="33" t="n"/>
      <c r="H143" s="26">
        <f>Respuestas!C640</f>
        <v/>
      </c>
    </row>
    <row r="144" ht="12.75" customHeight="1" s="110">
      <c r="A144" s="93">
        <f>Respuestas!C583</f>
        <v/>
      </c>
      <c r="D144" s="78" t="n"/>
      <c r="E144" s="91" t="n"/>
      <c r="F144" s="92" t="n"/>
      <c r="G144" s="92" t="n"/>
      <c r="H144" s="26">
        <f>Respuestas!C641</f>
        <v/>
      </c>
    </row>
    <row r="145" ht="12.75" customHeight="1" s="110">
      <c r="A145" s="30" t="inlineStr">
        <is>
          <t>Ideas persecutorias</t>
        </is>
      </c>
      <c r="D145" s="78" t="n"/>
      <c r="E145" s="91" t="n"/>
      <c r="F145" s="92" t="n"/>
      <c r="G145" s="92" t="n"/>
      <c r="H145" s="30" t="inlineStr">
        <is>
          <t>Creencias erróneas</t>
        </is>
      </c>
    </row>
    <row r="146" ht="12.75" customHeight="1" s="110">
      <c r="A146" s="26">
        <f>Respuestas!C586</f>
        <v/>
      </c>
      <c r="B146" s="78" t="n"/>
      <c r="C146" s="78" t="n"/>
      <c r="D146" s="78" t="n"/>
      <c r="E146" s="91" t="n"/>
      <c r="F146" s="92" t="n"/>
      <c r="G146" s="92" t="n"/>
      <c r="H146" s="26">
        <f>Respuestas!C643</f>
        <v/>
      </c>
    </row>
    <row r="147" ht="12.75" customHeight="1" s="110">
      <c r="A147" s="26">
        <f>Respuestas!C587</f>
        <v/>
      </c>
      <c r="B147" s="78" t="n"/>
      <c r="C147" s="78" t="n"/>
      <c r="D147" s="78" t="n"/>
      <c r="E147" s="91" t="n"/>
      <c r="F147" s="92" t="n"/>
      <c r="G147" s="92" t="n"/>
      <c r="H147" s="26">
        <f>Respuestas!C644</f>
        <v/>
      </c>
    </row>
    <row r="148" ht="12.75" customHeight="1" s="110">
      <c r="A148" s="26">
        <f>Respuestas!C588</f>
        <v/>
      </c>
      <c r="B148" s="78" t="n"/>
      <c r="C148" s="78" t="n"/>
      <c r="D148" s="78" t="n"/>
      <c r="E148" s="91" t="n"/>
      <c r="F148" s="92" t="n"/>
      <c r="G148" s="92" t="n"/>
      <c r="H148" s="26">
        <f>Respuestas!C645</f>
        <v/>
      </c>
    </row>
    <row r="149" ht="12.75" customHeight="1" s="110">
      <c r="A149" s="26">
        <f>Respuestas!C589</f>
        <v/>
      </c>
      <c r="B149" s="78" t="n"/>
      <c r="C149" s="78" t="n"/>
      <c r="D149" s="78" t="n"/>
      <c r="E149" s="91" t="n"/>
      <c r="F149" s="92" t="n"/>
      <c r="G149" s="92" t="n"/>
      <c r="H149" s="26">
        <f>Respuestas!C646</f>
        <v/>
      </c>
    </row>
    <row r="150" ht="12.75" customHeight="1" s="110">
      <c r="A150" s="26">
        <f>Respuestas!C590</f>
        <v/>
      </c>
      <c r="B150" s="78" t="n"/>
      <c r="C150" s="78" t="n"/>
      <c r="D150" s="78" t="n"/>
      <c r="E150" s="91" t="n"/>
      <c r="F150" s="92" t="n"/>
      <c r="G150" s="92" t="n"/>
      <c r="H150" s="26">
        <f>Respuestas!C647</f>
        <v/>
      </c>
    </row>
    <row r="151" ht="12.75" customHeight="1" s="110">
      <c r="A151" s="26">
        <f>Respuestas!C591</f>
        <v/>
      </c>
      <c r="B151" s="78" t="n"/>
      <c r="C151" s="78" t="n"/>
      <c r="D151" s="78" t="n"/>
      <c r="E151" s="91" t="n"/>
      <c r="F151" s="92" t="n"/>
      <c r="G151" s="92" t="n"/>
      <c r="H151" s="26">
        <f>Respuestas!C648</f>
        <v/>
      </c>
    </row>
    <row r="152" ht="12.75" customHeight="1" s="110">
      <c r="A152" s="26">
        <f>Respuestas!C592</f>
        <v/>
      </c>
      <c r="B152" s="78" t="n"/>
      <c r="C152" s="78" t="n"/>
      <c r="D152" s="78" t="n"/>
      <c r="E152" s="91" t="n"/>
      <c r="F152" s="92" t="n"/>
      <c r="G152" s="92" t="n"/>
      <c r="H152" s="26">
        <f>Respuestas!C649</f>
        <v/>
      </c>
    </row>
    <row r="153" ht="12.75" customHeight="1" s="110">
      <c r="A153" s="26">
        <f>Respuestas!C593</f>
        <v/>
      </c>
      <c r="B153" s="78" t="n"/>
      <c r="C153" s="78" t="n"/>
      <c r="D153" s="78" t="n"/>
      <c r="E153" s="91" t="n"/>
      <c r="F153" s="92" t="n"/>
      <c r="G153" s="92" t="n"/>
      <c r="H153" s="26">
        <f>Respuestas!C650</f>
        <v/>
      </c>
    </row>
    <row r="154" ht="12.75" customHeight="1" s="110">
      <c r="A154" s="26">
        <f>Respuestas!C594</f>
        <v/>
      </c>
      <c r="B154" s="78" t="n"/>
      <c r="C154" s="78" t="n"/>
      <c r="D154" s="78" t="n"/>
      <c r="E154" s="91" t="n"/>
      <c r="F154" s="92" t="n"/>
      <c r="G154" s="92" t="n"/>
      <c r="H154" s="26">
        <f>Respuestas!C651</f>
        <v/>
      </c>
    </row>
    <row r="155" ht="12.75" customHeight="1" s="110">
      <c r="A155" s="26">
        <f>Respuestas!C595</f>
        <v/>
      </c>
      <c r="B155" s="78" t="n"/>
      <c r="C155" s="78" t="n"/>
      <c r="D155" s="78" t="n"/>
      <c r="E155" s="91" t="n"/>
      <c r="F155" s="92" t="n"/>
      <c r="G155" s="92" t="n"/>
      <c r="H155" s="26">
        <f>Respuestas!C652</f>
        <v/>
      </c>
    </row>
    <row r="156" ht="12.75" customHeight="1" s="110">
      <c r="A156" s="26">
        <f>Respuestas!C596</f>
        <v/>
      </c>
      <c r="B156" s="78" t="n"/>
      <c r="C156" s="78" t="n"/>
      <c r="D156" s="78" t="n"/>
      <c r="E156" s="91" t="n"/>
      <c r="F156" s="92" t="n"/>
      <c r="G156" s="92" t="n"/>
      <c r="H156" s="26">
        <f>Respuestas!C653</f>
        <v/>
      </c>
    </row>
    <row r="157" ht="12.75" customHeight="1" s="110">
      <c r="A157" s="26">
        <f>Respuestas!C597</f>
        <v/>
      </c>
      <c r="B157" s="78" t="n"/>
      <c r="C157" s="78" t="n"/>
      <c r="D157" s="78" t="n"/>
      <c r="E157" s="91" t="n"/>
      <c r="F157" s="92" t="n"/>
      <c r="G157" s="92" t="n"/>
      <c r="H157" s="26">
        <f>Respuestas!C654</f>
        <v/>
      </c>
    </row>
    <row r="158" ht="12.75" customHeight="1" s="110">
      <c r="A158" s="26">
        <f>Respuestas!C598</f>
        <v/>
      </c>
      <c r="B158" s="78" t="n"/>
      <c r="C158" s="78" t="n"/>
      <c r="D158" s="78" t="n"/>
      <c r="E158" s="91" t="n"/>
      <c r="F158" s="92" t="n"/>
      <c r="G158" s="92" t="n"/>
      <c r="H158" s="26">
        <f>Respuestas!C655</f>
        <v/>
      </c>
    </row>
    <row r="159" ht="12.75" customHeight="1" s="110">
      <c r="A159" s="26">
        <f>Respuestas!C599</f>
        <v/>
      </c>
      <c r="B159" s="78" t="n"/>
      <c r="C159" s="78" t="n"/>
      <c r="D159" s="78" t="n"/>
      <c r="E159" s="91" t="n"/>
      <c r="F159" s="92" t="n"/>
      <c r="G159" s="92" t="n"/>
      <c r="H159" s="26">
        <f>Respuestas!C656</f>
        <v/>
      </c>
    </row>
    <row r="160" ht="12.75" customHeight="1" s="110">
      <c r="A160" s="26">
        <f>Respuestas!C600</f>
        <v/>
      </c>
      <c r="B160" s="78" t="n"/>
      <c r="C160" s="78" t="n"/>
      <c r="E160" s="32" t="n"/>
      <c r="F160" s="33" t="n"/>
      <c r="G160" s="33" t="n"/>
      <c r="H160" s="26">
        <f>Respuestas!C657</f>
        <v/>
      </c>
    </row>
    <row r="161" ht="12.75" customHeight="1" s="110">
      <c r="A161" s="26">
        <f>Respuestas!C601</f>
        <v/>
      </c>
      <c r="B161" s="78" t="n"/>
      <c r="C161" s="78" t="n"/>
      <c r="E161" s="32" t="n"/>
      <c r="F161" s="33" t="n"/>
      <c r="G161" s="33" t="n"/>
      <c r="H161" s="30" t="inlineStr">
        <is>
          <t>Pensamientos y experiencias erróneas</t>
        </is>
      </c>
    </row>
    <row r="162" ht="12.75" customHeight="1" s="110">
      <c r="E162" s="32" t="n"/>
      <c r="F162" s="33" t="n"/>
      <c r="G162" s="33" t="n"/>
      <c r="H162" s="26">
        <f>Respuestas!C660</f>
        <v/>
      </c>
    </row>
    <row r="163" ht="12.75" customHeight="1" s="110">
      <c r="B163" s="76" t="inlineStr">
        <is>
          <t>ITEMS CRITICOS DE LACHAR - WROBEL</t>
        </is>
      </c>
      <c r="C163" s="77" t="n"/>
      <c r="D163" s="77" t="n"/>
      <c r="E163" s="32" t="n"/>
      <c r="F163" s="33" t="n"/>
      <c r="G163" s="33" t="n"/>
      <c r="H163" s="26">
        <f>Respuestas!C661</f>
        <v/>
      </c>
    </row>
    <row r="164" ht="12.75" customHeight="1" s="110">
      <c r="A164" s="30" t="inlineStr">
        <is>
          <t>Ansiedad y tensión</t>
        </is>
      </c>
      <c r="E164" s="32" t="n"/>
      <c r="F164" s="33" t="n"/>
      <c r="G164" s="33" t="n"/>
      <c r="H164" s="26">
        <f>Respuestas!C662</f>
        <v/>
      </c>
    </row>
    <row r="165" ht="12.75" customHeight="1" s="110">
      <c r="A165" s="26">
        <f>Respuestas!C605</f>
        <v/>
      </c>
      <c r="B165" s="78" t="n"/>
      <c r="C165" s="78" t="n"/>
      <c r="D165" s="78" t="n"/>
      <c r="E165" s="91" t="n"/>
      <c r="F165" s="92" t="n"/>
      <c r="G165" s="92" t="n"/>
      <c r="H165" s="26">
        <f>Respuestas!C663</f>
        <v/>
      </c>
    </row>
    <row r="166" ht="12.75" customHeight="1" s="110">
      <c r="A166" s="26">
        <f>Respuestas!C606</f>
        <v/>
      </c>
      <c r="B166" s="78" t="n"/>
      <c r="C166" s="78" t="n"/>
      <c r="D166" s="78" t="n"/>
      <c r="E166" s="91" t="n"/>
      <c r="F166" s="92" t="n"/>
      <c r="G166" s="92" t="n"/>
      <c r="H166" s="26">
        <f>Respuestas!C664</f>
        <v/>
      </c>
    </row>
    <row r="167" ht="12.75" customHeight="1" s="110">
      <c r="A167" s="26">
        <f>Respuestas!C607</f>
        <v/>
      </c>
      <c r="B167" s="78" t="n"/>
      <c r="C167" s="78" t="n"/>
      <c r="D167" s="78" t="n"/>
      <c r="E167" s="91" t="n"/>
      <c r="F167" s="92" t="n"/>
      <c r="G167" s="92" t="n"/>
      <c r="H167" s="26">
        <f>Respuestas!C665</f>
        <v/>
      </c>
    </row>
    <row r="168" ht="12.75" customHeight="1" s="110">
      <c r="A168" s="26">
        <f>Respuestas!C608</f>
        <v/>
      </c>
      <c r="B168" s="78" t="n"/>
      <c r="C168" s="78" t="n"/>
      <c r="D168" s="78" t="n"/>
      <c r="E168" s="91" t="n"/>
      <c r="F168" s="92" t="n"/>
      <c r="G168" s="92" t="n"/>
      <c r="H168" s="26">
        <f>Respuestas!C666</f>
        <v/>
      </c>
    </row>
    <row r="169" ht="12.75" customHeight="1" s="110">
      <c r="A169" s="26">
        <f>Respuestas!C609</f>
        <v/>
      </c>
      <c r="B169" s="78" t="n"/>
      <c r="C169" s="78" t="n"/>
      <c r="D169" s="78" t="n"/>
      <c r="E169" s="91" t="n"/>
      <c r="F169" s="92" t="n"/>
      <c r="G169" s="92" t="n"/>
      <c r="H169" s="26">
        <f>Respuestas!C667</f>
        <v/>
      </c>
    </row>
    <row r="170" ht="12.75" customHeight="1" s="110">
      <c r="A170" s="26">
        <f>Respuestas!C610</f>
        <v/>
      </c>
      <c r="B170" s="78" t="n"/>
      <c r="C170" s="78" t="n"/>
      <c r="D170" s="78" t="n"/>
      <c r="E170" s="91" t="n"/>
      <c r="F170" s="92" t="n"/>
      <c r="G170" s="92" t="n"/>
      <c r="H170" s="26">
        <f>Respuestas!C668</f>
        <v/>
      </c>
    </row>
    <row r="171" ht="12.75" customHeight="1" s="110">
      <c r="A171" s="26">
        <f>Respuestas!C611</f>
        <v/>
      </c>
      <c r="B171" s="78" t="n"/>
      <c r="C171" s="78" t="n"/>
      <c r="D171" s="78" t="n"/>
      <c r="E171" s="91" t="n"/>
      <c r="F171" s="92" t="n"/>
      <c r="G171" s="92" t="n"/>
      <c r="H171" s="26">
        <f>Respuestas!C669</f>
        <v/>
      </c>
    </row>
    <row r="172" ht="12.75" customHeight="1" s="110">
      <c r="A172" s="26">
        <f>Respuestas!C612</f>
        <v/>
      </c>
      <c r="B172" s="78" t="n"/>
      <c r="C172" s="78" t="n"/>
      <c r="D172" s="78" t="n"/>
      <c r="E172" s="91" t="n"/>
      <c r="F172" s="92" t="n"/>
      <c r="G172" s="92" t="n"/>
      <c r="H172" s="30" t="inlineStr">
        <is>
          <t>Abuso de sustancias</t>
        </is>
      </c>
    </row>
    <row r="173" ht="12.75" customHeight="1" s="110">
      <c r="A173" s="26">
        <f>Respuestas!C613</f>
        <v/>
      </c>
      <c r="B173" s="78" t="n"/>
      <c r="C173" s="78" t="n"/>
      <c r="D173" s="78" t="n"/>
      <c r="E173" s="91" t="n"/>
      <c r="F173" s="92" t="n"/>
      <c r="G173" s="92" t="n"/>
      <c r="H173" s="26">
        <f>Respuestas!C672</f>
        <v/>
      </c>
    </row>
    <row r="174" ht="12.75" customHeight="1" s="110">
      <c r="A174" s="26">
        <f>Respuestas!C614</f>
        <v/>
      </c>
      <c r="B174" s="78" t="n"/>
      <c r="C174" s="78" t="n"/>
      <c r="D174" s="78" t="n"/>
      <c r="E174" s="91" t="n"/>
      <c r="F174" s="92" t="n"/>
      <c r="G174" s="92" t="n"/>
      <c r="H174" s="26">
        <f>Respuestas!C673</f>
        <v/>
      </c>
    </row>
    <row r="175" ht="12.75" customHeight="1" s="110">
      <c r="A175" s="26">
        <f>Respuestas!C615</f>
        <v/>
      </c>
      <c r="B175" s="78" t="n"/>
      <c r="C175" s="78" t="n"/>
      <c r="D175" s="78" t="n"/>
      <c r="E175" s="91" t="n"/>
      <c r="F175" s="92" t="n"/>
      <c r="G175" s="92" t="n"/>
      <c r="H175" s="26">
        <f>Respuestas!C674</f>
        <v/>
      </c>
    </row>
    <row r="176" ht="12.75" customHeight="1" s="110">
      <c r="A176" s="30" t="inlineStr">
        <is>
          <t>Depresión y preocupación</t>
        </is>
      </c>
      <c r="B176" s="78" t="n"/>
      <c r="C176" s="78" t="n"/>
      <c r="D176" s="78" t="n"/>
      <c r="E176" s="91" t="n"/>
      <c r="F176" s="92" t="n"/>
      <c r="G176" s="92" t="n"/>
      <c r="H176" s="30" t="inlineStr">
        <is>
          <t>Actitud antisocial</t>
        </is>
      </c>
    </row>
    <row r="177" ht="12.75" customHeight="1" s="110">
      <c r="A177" s="26">
        <f>Respuestas!C618</f>
        <v/>
      </c>
      <c r="B177" s="78" t="n"/>
      <c r="C177" s="78" t="n"/>
      <c r="D177" s="78" t="n"/>
      <c r="E177" s="91" t="n"/>
      <c r="F177" s="92" t="n"/>
      <c r="G177" s="92" t="n"/>
      <c r="H177" s="26">
        <f>Respuestas!C677</f>
        <v/>
      </c>
    </row>
    <row r="178" ht="12.75" customHeight="1" s="110">
      <c r="A178" s="26">
        <f>Respuestas!C619</f>
        <v/>
      </c>
      <c r="B178" s="78" t="n"/>
      <c r="C178" s="78" t="n"/>
      <c r="D178" s="78" t="n"/>
      <c r="E178" s="91" t="n"/>
      <c r="F178" s="92" t="n"/>
      <c r="G178" s="92" t="n"/>
      <c r="H178" s="26">
        <f>Respuestas!C678</f>
        <v/>
      </c>
    </row>
    <row r="179" ht="12.75" customHeight="1" s="110">
      <c r="A179" s="26">
        <f>Respuestas!C620</f>
        <v/>
      </c>
      <c r="B179" s="78" t="n"/>
      <c r="C179" s="78" t="n"/>
      <c r="D179" s="78" t="n"/>
      <c r="E179" s="91" t="n"/>
      <c r="F179" s="92" t="n"/>
      <c r="G179" s="92" t="n"/>
      <c r="H179" s="26">
        <f>Respuestas!C679</f>
        <v/>
      </c>
    </row>
    <row r="180" ht="12.75" customHeight="1" s="110">
      <c r="A180" s="26">
        <f>Respuestas!C621</f>
        <v/>
      </c>
      <c r="B180" s="78" t="n"/>
      <c r="C180" s="78" t="n"/>
      <c r="D180" s="78" t="n"/>
      <c r="E180" s="91" t="n"/>
      <c r="F180" s="92" t="n"/>
      <c r="G180" s="92" t="n"/>
      <c r="H180" s="26">
        <f>Respuestas!C680</f>
        <v/>
      </c>
    </row>
    <row r="181" ht="12.75" customHeight="1" s="110">
      <c r="A181" s="26">
        <f>Respuestas!C622</f>
        <v/>
      </c>
      <c r="B181" s="78" t="n"/>
      <c r="C181" s="78" t="n"/>
      <c r="D181" s="78" t="n"/>
      <c r="E181" s="91" t="n"/>
      <c r="F181" s="92" t="n"/>
      <c r="G181" s="92" t="n"/>
      <c r="H181" s="26">
        <f>Respuestas!C681</f>
        <v/>
      </c>
    </row>
    <row r="182" ht="12.75" customHeight="1" s="110">
      <c r="A182" s="26">
        <f>Respuestas!C623</f>
        <v/>
      </c>
      <c r="B182" s="78" t="n"/>
      <c r="C182" s="78" t="n"/>
      <c r="D182" s="78" t="n"/>
      <c r="E182" s="91" t="n"/>
      <c r="F182" s="92" t="n"/>
      <c r="G182" s="92" t="n"/>
      <c r="H182" s="26">
        <f>Respuestas!C682</f>
        <v/>
      </c>
    </row>
    <row r="183" ht="12.75" customHeight="1" s="110">
      <c r="A183" s="26">
        <f>Respuestas!C624</f>
        <v/>
      </c>
      <c r="B183" s="78" t="n"/>
      <c r="C183" s="78" t="n"/>
      <c r="D183" s="78" t="n"/>
      <c r="E183" s="91" t="n"/>
      <c r="F183" s="92" t="n"/>
      <c r="G183" s="92" t="n"/>
      <c r="H183" s="26">
        <f>Respuestas!C683</f>
        <v/>
      </c>
    </row>
    <row r="184" ht="12.75" customHeight="1" s="110">
      <c r="A184" s="26">
        <f>Respuestas!C625</f>
        <v/>
      </c>
      <c r="B184" s="78" t="n"/>
      <c r="C184" s="78" t="n"/>
      <c r="D184" s="78" t="n"/>
      <c r="E184" s="91" t="n"/>
      <c r="F184" s="92" t="n"/>
      <c r="G184" s="92" t="n"/>
      <c r="H184" s="26">
        <f>Respuestas!C684</f>
        <v/>
      </c>
    </row>
    <row r="185" ht="12.75" customHeight="1" s="110">
      <c r="A185" s="26">
        <f>Respuestas!C626</f>
        <v/>
      </c>
      <c r="B185" s="78" t="n"/>
      <c r="C185" s="78" t="n"/>
      <c r="D185" s="78" t="n"/>
      <c r="E185" s="91" t="n"/>
      <c r="F185" s="92" t="n"/>
      <c r="G185" s="92" t="n"/>
      <c r="H185" s="26">
        <f>Respuestas!C685</f>
        <v/>
      </c>
    </row>
    <row r="186" ht="12.75" customHeight="1" s="110">
      <c r="A186" s="26">
        <f>Respuestas!C627</f>
        <v/>
      </c>
      <c r="B186" s="78" t="n"/>
      <c r="C186" s="78" t="n"/>
      <c r="D186" s="78" t="n"/>
      <c r="E186" s="91" t="n"/>
      <c r="F186" s="92" t="n"/>
      <c r="G186" s="92" t="n"/>
      <c r="H186" s="30" t="inlineStr">
        <is>
          <t>Conflictiva familiar</t>
        </is>
      </c>
    </row>
    <row r="187" ht="12.75" customHeight="1" s="110">
      <c r="A187" s="26">
        <f>Respuestas!C628</f>
        <v/>
      </c>
      <c r="B187" s="78" t="n"/>
      <c r="C187" s="78" t="n"/>
      <c r="D187" s="78" t="n"/>
      <c r="E187" s="91" t="n"/>
      <c r="F187" s="92" t="n"/>
      <c r="G187" s="92" t="n"/>
      <c r="H187" s="26">
        <f>Respuestas!C688</f>
        <v/>
      </c>
    </row>
    <row r="188" ht="12.75" customHeight="1" s="110">
      <c r="A188" s="26">
        <f>Respuestas!C629</f>
        <v/>
      </c>
      <c r="B188" s="78" t="n"/>
      <c r="C188" s="78" t="n"/>
      <c r="D188" s="78" t="n"/>
      <c r="E188" s="91" t="n"/>
      <c r="F188" s="92" t="n"/>
      <c r="G188" s="92" t="n"/>
      <c r="H188" s="26">
        <f>Respuestas!C689</f>
        <v/>
      </c>
    </row>
    <row r="189" ht="12.75" customHeight="1" s="110">
      <c r="A189" s="26">
        <f>Respuestas!C630</f>
        <v/>
      </c>
      <c r="B189" s="78" t="n"/>
      <c r="C189" s="78" t="n"/>
      <c r="D189" s="78" t="n"/>
      <c r="E189" s="91" t="n"/>
      <c r="F189" s="92" t="n"/>
      <c r="G189" s="92" t="n"/>
      <c r="H189" s="26">
        <f>Respuestas!C690</f>
        <v/>
      </c>
    </row>
    <row r="190" ht="12.75" customHeight="1" s="110">
      <c r="E190" s="32" t="n"/>
      <c r="F190" s="33" t="n"/>
      <c r="G190" s="33" t="n"/>
    </row>
    <row r="191" ht="12.75" customHeight="1" s="110">
      <c r="D191" s="34" t="inlineStr">
        <is>
          <t>MMPI - 2</t>
        </is>
      </c>
      <c r="E191" s="32" t="n"/>
      <c r="F191" s="33" t="n"/>
      <c r="G191" s="33" t="n"/>
    </row>
    <row r="192" ht="12.75" customHeight="1" s="110">
      <c r="E192" s="32" t="n"/>
      <c r="F192" s="33" t="n"/>
      <c r="G192" s="33" t="n"/>
    </row>
    <row r="193" ht="12.75" customHeight="1" s="110">
      <c r="B193" s="4" t="inlineStr">
        <is>
          <t>Cliente:</t>
        </is>
      </c>
      <c r="E193" s="32" t="n"/>
      <c r="F193" s="33" t="n"/>
      <c r="G193" s="33" t="n"/>
    </row>
    <row r="194" ht="12.75" customHeight="1" s="110">
      <c r="B194" s="4" t="inlineStr">
        <is>
          <t>Evaluador:</t>
        </is>
      </c>
      <c r="E194" s="32" t="n"/>
      <c r="F194" s="33" t="n"/>
      <c r="G194" s="33" t="n"/>
    </row>
    <row r="195" ht="12.75" customHeight="1" s="110">
      <c r="E195" s="32" t="n"/>
      <c r="F195" s="33" t="n"/>
      <c r="G195" s="33" t="n"/>
      <c r="I195" s="94" t="n"/>
      <c r="J195" s="94" t="n"/>
      <c r="K195" s="94" t="n"/>
      <c r="L195" s="94" t="n"/>
      <c r="M195" s="94" t="n"/>
      <c r="N195" s="94" t="n"/>
      <c r="O195" s="94" t="n"/>
    </row>
    <row r="196" ht="12.75" customHeight="1" s="110">
      <c r="B196" s="76" t="inlineStr">
        <is>
          <t>ITEMS CRÍTICOS DE LACHAR - WROBEL (CONTINUACIÓN-2)</t>
        </is>
      </c>
      <c r="C196" s="77" t="n"/>
      <c r="D196" s="77" t="n"/>
      <c r="E196" s="32" t="n"/>
      <c r="F196" s="33" t="n"/>
      <c r="G196" s="33" t="n"/>
      <c r="I196" s="94" t="n"/>
      <c r="J196" s="94" t="n"/>
      <c r="K196" s="94" t="n"/>
      <c r="L196" s="94" t="n"/>
      <c r="M196" s="94" t="n"/>
      <c r="N196" s="94" t="n"/>
      <c r="O196" s="94" t="n"/>
    </row>
    <row r="197" ht="12.75" customHeight="1" s="110">
      <c r="E197" s="32" t="n"/>
      <c r="F197" s="33" t="n"/>
      <c r="G197" s="33" t="n"/>
      <c r="I197" s="94" t="n"/>
      <c r="J197" s="94" t="n"/>
      <c r="K197" s="94" t="n"/>
      <c r="L197" s="94" t="n"/>
      <c r="M197" s="94" t="n"/>
      <c r="N197" s="94" t="n"/>
      <c r="O197" s="94" t="n"/>
    </row>
    <row r="198" ht="12.75" customHeight="1" s="110">
      <c r="A198" s="30" t="inlineStr">
        <is>
          <t>Conflictiva familiar (Continuación)</t>
        </is>
      </c>
      <c r="E198" s="32" t="n"/>
      <c r="F198" s="33" t="n"/>
      <c r="G198" s="33" t="n"/>
      <c r="I198" s="94" t="n"/>
      <c r="J198" s="94" t="n"/>
      <c r="K198" s="94" t="n"/>
      <c r="L198" s="94" t="n"/>
      <c r="M198" s="94" t="n"/>
      <c r="N198" s="94" t="n"/>
      <c r="O198" s="94" t="n"/>
    </row>
    <row r="199" ht="12.75" customHeight="1" s="110">
      <c r="A199" s="93">
        <f>Respuestas!C691</f>
        <v/>
      </c>
      <c r="E199" s="32" t="n"/>
      <c r="F199" s="33" t="n"/>
      <c r="G199" s="33" t="n"/>
      <c r="I199" s="94" t="n"/>
      <c r="J199" s="94" t="n"/>
      <c r="K199" s="94" t="n"/>
      <c r="L199" s="94" t="n"/>
      <c r="M199" s="94" t="n"/>
      <c r="N199" s="94" t="n"/>
      <c r="O199" s="94" t="n"/>
    </row>
    <row r="200" ht="12.75" customHeight="1" s="110">
      <c r="A200" s="30" t="inlineStr">
        <is>
          <t>Agresividad</t>
        </is>
      </c>
      <c r="E200" s="32" t="n"/>
      <c r="F200" s="33" t="n"/>
      <c r="G200" s="33" t="n"/>
      <c r="I200" s="94" t="n"/>
      <c r="J200" s="94" t="n"/>
      <c r="K200" s="94" t="n"/>
      <c r="L200" s="94" t="n"/>
      <c r="M200" s="94" t="n"/>
      <c r="N200" s="94" t="n"/>
      <c r="O200" s="94" t="n"/>
    </row>
    <row r="201" ht="12.75" customHeight="1" s="110">
      <c r="A201" s="26">
        <f>Respuestas!C694</f>
        <v/>
      </c>
      <c r="E201" s="32" t="n"/>
      <c r="F201" s="33" t="n"/>
      <c r="G201" s="33" t="n"/>
      <c r="I201" s="94" t="n"/>
      <c r="J201" s="94" t="n"/>
      <c r="K201" s="94" t="n"/>
      <c r="L201" s="94" t="n"/>
      <c r="M201" s="94" t="n"/>
      <c r="N201" s="94" t="n"/>
      <c r="O201" s="94" t="n"/>
    </row>
    <row r="202" ht="12.75" customHeight="1" s="110">
      <c r="A202" s="26">
        <f>Respuestas!C695</f>
        <v/>
      </c>
      <c r="E202" s="32" t="n"/>
      <c r="F202" s="33" t="n"/>
      <c r="G202" s="33" t="n"/>
      <c r="I202" s="94" t="n"/>
      <c r="J202" s="94" t="n"/>
      <c r="K202" s="94" t="n"/>
      <c r="L202" s="94" t="n"/>
      <c r="M202" s="94" t="n"/>
      <c r="N202" s="94" t="n"/>
      <c r="O202" s="94" t="n"/>
    </row>
    <row r="203" ht="12.75" customHeight="1" s="110">
      <c r="A203" s="26">
        <f>Respuestas!C696</f>
        <v/>
      </c>
      <c r="E203" s="32" t="n"/>
      <c r="F203" s="33" t="n"/>
      <c r="G203" s="33" t="n"/>
      <c r="I203" s="94" t="n"/>
      <c r="J203" s="94" t="n"/>
      <c r="K203" s="94" t="n"/>
      <c r="L203" s="94" t="n"/>
      <c r="M203" s="94" t="n"/>
      <c r="N203" s="94" t="n"/>
      <c r="O203" s="94" t="n"/>
    </row>
    <row r="204" ht="12.75" customHeight="1" s="110">
      <c r="A204" s="26">
        <f>Respuestas!C697</f>
        <v/>
      </c>
      <c r="E204" s="32" t="n"/>
      <c r="F204" s="33" t="n"/>
      <c r="G204" s="33" t="n"/>
      <c r="I204" s="94" t="n"/>
      <c r="J204" s="94" t="n"/>
      <c r="K204" s="94" t="n"/>
      <c r="L204" s="94" t="n"/>
      <c r="M204" s="94" t="n"/>
      <c r="N204" s="94" t="n"/>
      <c r="O204" s="94" t="n"/>
    </row>
    <row r="205" ht="12.75" customHeight="1" s="110">
      <c r="A205" s="30" t="inlineStr">
        <is>
          <t>Preocupaciones y desviaciones sexuales</t>
        </is>
      </c>
      <c r="E205" s="32" t="n"/>
      <c r="F205" s="33" t="n"/>
      <c r="G205" s="33" t="n"/>
      <c r="I205" s="94" t="n"/>
      <c r="J205" s="94" t="n"/>
      <c r="K205" s="94" t="n"/>
      <c r="L205" s="94" t="n"/>
      <c r="M205" s="94" t="n"/>
      <c r="N205" s="94" t="n"/>
      <c r="O205" s="94" t="n"/>
    </row>
    <row r="206" ht="12.75" customHeight="1" s="110">
      <c r="A206" s="26">
        <f>Respuestas!C700</f>
        <v/>
      </c>
      <c r="E206" s="32" t="n"/>
      <c r="F206" s="33" t="n"/>
      <c r="G206" s="33" t="n"/>
      <c r="I206" s="94" t="n"/>
      <c r="J206" s="94" t="n"/>
      <c r="K206" s="94" t="n"/>
      <c r="L206" s="94" t="n"/>
      <c r="M206" s="94" t="n"/>
      <c r="N206" s="94" t="n"/>
      <c r="O206" s="94" t="n"/>
    </row>
    <row r="207" ht="12.75" customHeight="1" s="110">
      <c r="A207" s="26">
        <f>Respuestas!C701</f>
        <v/>
      </c>
      <c r="E207" s="32" t="n"/>
      <c r="F207" s="33" t="n"/>
      <c r="G207" s="33" t="n"/>
      <c r="I207" s="94" t="n"/>
      <c r="J207" s="94" t="n"/>
      <c r="K207" s="94" t="n"/>
      <c r="L207" s="94" t="n"/>
      <c r="M207" s="94" t="n"/>
      <c r="N207" s="94" t="n"/>
      <c r="O207" s="94" t="n"/>
    </row>
    <row r="208" ht="12.75" customHeight="1" s="110">
      <c r="A208" s="26">
        <f>Respuestas!C702</f>
        <v/>
      </c>
      <c r="E208" s="32" t="n"/>
      <c r="F208" s="33" t="n"/>
      <c r="G208" s="33" t="n"/>
      <c r="I208" s="94" t="n"/>
      <c r="J208" s="94" t="n"/>
      <c r="K208" s="94" t="n"/>
      <c r="L208" s="94" t="n"/>
      <c r="M208" s="94" t="n"/>
      <c r="N208" s="94" t="n"/>
      <c r="O208" s="94" t="n"/>
    </row>
    <row r="209" ht="12.75" customHeight="1" s="110">
      <c r="A209" s="26">
        <f>Respuestas!C703</f>
        <v/>
      </c>
      <c r="E209" s="32" t="n"/>
      <c r="F209" s="33" t="n"/>
      <c r="G209" s="33" t="n"/>
      <c r="I209" s="94" t="n"/>
      <c r="J209" s="94" t="n"/>
      <c r="K209" s="94" t="n"/>
      <c r="L209" s="94" t="n"/>
      <c r="M209" s="94" t="n"/>
      <c r="N209" s="94" t="n"/>
      <c r="O209" s="94" t="n"/>
    </row>
    <row r="210" ht="12.75" customHeight="1" s="110">
      <c r="A210" s="26">
        <f>Respuestas!C704</f>
        <v/>
      </c>
      <c r="E210" s="32" t="n"/>
      <c r="F210" s="33" t="n"/>
      <c r="G210" s="33" t="n"/>
      <c r="I210" s="94" t="n"/>
      <c r="J210" s="94" t="n"/>
      <c r="K210" s="94" t="n"/>
      <c r="L210" s="94" t="n"/>
      <c r="M210" s="94" t="n"/>
      <c r="N210" s="94" t="n"/>
      <c r="O210" s="94" t="n"/>
    </row>
    <row r="211" ht="12.75" customHeight="1" s="110">
      <c r="A211" s="26">
        <f>Respuestas!C705</f>
        <v/>
      </c>
      <c r="E211" s="32" t="n"/>
      <c r="F211" s="33" t="n"/>
      <c r="G211" s="33" t="n"/>
      <c r="I211" s="94" t="n"/>
      <c r="J211" s="94" t="n"/>
      <c r="K211" s="94" t="n"/>
      <c r="L211" s="94" t="n"/>
      <c r="M211" s="94" t="n"/>
      <c r="N211" s="94" t="n"/>
      <c r="O211" s="94" t="n"/>
    </row>
    <row r="212" ht="12.75" customHeight="1" s="110">
      <c r="A212" s="30" t="inlineStr">
        <is>
          <t>Síntomas somáticos</t>
        </is>
      </c>
      <c r="E212" s="32" t="n"/>
      <c r="F212" s="33" t="n"/>
      <c r="G212" s="33" t="n"/>
      <c r="I212" s="94" t="n"/>
      <c r="J212" s="94" t="n"/>
      <c r="K212" s="94" t="n"/>
      <c r="L212" s="94" t="n"/>
      <c r="M212" s="94" t="n"/>
      <c r="N212" s="94" t="n"/>
      <c r="O212" s="94" t="n"/>
    </row>
    <row r="213" ht="12.75" customHeight="1" s="110">
      <c r="A213" s="26">
        <f>Respuestas!C708</f>
        <v/>
      </c>
      <c r="E213" s="32" t="n"/>
      <c r="F213" s="33" t="n"/>
      <c r="G213" s="33" t="n"/>
      <c r="I213" s="94" t="n"/>
      <c r="J213" s="94" t="n"/>
      <c r="K213" s="94" t="n"/>
      <c r="L213" s="94" t="n"/>
      <c r="M213" s="94" t="n"/>
      <c r="N213" s="94" t="n"/>
      <c r="O213" s="94" t="n"/>
    </row>
    <row r="214" ht="12.75" customHeight="1" s="110">
      <c r="A214" s="26">
        <f>Respuestas!C709</f>
        <v/>
      </c>
      <c r="E214" s="32" t="n"/>
      <c r="F214" s="33" t="n"/>
      <c r="G214" s="33" t="n"/>
      <c r="I214" s="94" t="n"/>
      <c r="J214" s="94" t="n"/>
      <c r="K214" s="94" t="n"/>
      <c r="L214" s="94" t="n"/>
      <c r="M214" s="94" t="n"/>
      <c r="N214" s="94" t="n"/>
      <c r="O214" s="94" t="n"/>
    </row>
    <row r="215" ht="12.75" customHeight="1" s="110">
      <c r="A215" s="26">
        <f>Respuestas!C710</f>
        <v/>
      </c>
      <c r="E215" s="32" t="n"/>
      <c r="F215" s="33" t="n"/>
      <c r="G215" s="33" t="n"/>
      <c r="I215" s="94" t="n"/>
      <c r="J215" s="94" t="n"/>
      <c r="K215" s="94" t="n"/>
      <c r="L215" s="94" t="n"/>
      <c r="M215" s="94" t="n"/>
      <c r="N215" s="94" t="n"/>
      <c r="O215" s="94" t="n"/>
    </row>
    <row r="216" ht="12.75" customHeight="1" s="110">
      <c r="A216" s="26">
        <f>Respuestas!C711</f>
        <v/>
      </c>
      <c r="E216" s="32" t="n"/>
      <c r="F216" s="33" t="n"/>
      <c r="G216" s="33" t="n"/>
    </row>
    <row r="217" ht="12.75" customHeight="1" s="110">
      <c r="A217" s="26">
        <f>Respuestas!C712</f>
        <v/>
      </c>
      <c r="E217" s="32" t="n"/>
      <c r="F217" s="33" t="n"/>
      <c r="G217" s="33" t="n"/>
    </row>
    <row r="218" ht="12.75" customHeight="1" s="110">
      <c r="A218" s="26">
        <f>Respuestas!C713</f>
        <v/>
      </c>
      <c r="E218" s="32" t="n"/>
      <c r="F218" s="33" t="n"/>
      <c r="G218" s="33" t="n"/>
    </row>
    <row r="219" ht="12.75" customHeight="1" s="110">
      <c r="A219" s="26">
        <f>Respuestas!C714</f>
        <v/>
      </c>
      <c r="E219" s="32" t="n"/>
      <c r="F219" s="33" t="n"/>
      <c r="G219" s="33" t="n"/>
    </row>
    <row r="220" ht="12.75" customHeight="1" s="110">
      <c r="A220" s="26">
        <f>Respuestas!C715</f>
        <v/>
      </c>
      <c r="E220" s="32" t="n"/>
      <c r="F220" s="33" t="n"/>
      <c r="G220" s="33" t="n"/>
    </row>
    <row r="221" ht="12.75" customHeight="1" s="110">
      <c r="A221" s="26">
        <f>Respuestas!C716</f>
        <v/>
      </c>
      <c r="E221" s="32" t="n"/>
      <c r="F221" s="33" t="n"/>
      <c r="G221" s="33" t="n"/>
    </row>
    <row r="222" ht="12.75" customHeight="1" s="110">
      <c r="A222" s="26">
        <f>Respuestas!C717</f>
        <v/>
      </c>
      <c r="E222" s="32" t="n"/>
      <c r="F222" s="33" t="n"/>
      <c r="G222" s="33" t="n"/>
    </row>
    <row r="223" ht="12.75" customHeight="1" s="110">
      <c r="A223" s="26">
        <f>Respuestas!C718</f>
        <v/>
      </c>
      <c r="E223" s="32" t="n"/>
      <c r="F223" s="33" t="n"/>
      <c r="G223" s="33" t="n"/>
    </row>
    <row r="224" ht="12.75" customHeight="1" s="110">
      <c r="A224" s="26">
        <f>Respuestas!C719</f>
        <v/>
      </c>
      <c r="E224" s="32" t="n"/>
      <c r="F224" s="33" t="n"/>
      <c r="G224" s="33" t="n"/>
    </row>
    <row r="225" ht="12.75" customHeight="1" s="110">
      <c r="A225" s="26">
        <f>Respuestas!C720</f>
        <v/>
      </c>
      <c r="E225" s="32" t="n"/>
      <c r="F225" s="33" t="n"/>
      <c r="G225" s="33" t="n"/>
    </row>
    <row r="226" ht="12.75" customHeight="1" s="110">
      <c r="A226" s="26">
        <f>Respuestas!C721</f>
        <v/>
      </c>
      <c r="E226" s="32" t="n"/>
      <c r="F226" s="33" t="n"/>
      <c r="G226" s="33" t="n"/>
    </row>
    <row r="227" ht="12.75" customHeight="1" s="110">
      <c r="A227" s="26">
        <f>Respuestas!C722</f>
        <v/>
      </c>
      <c r="E227" s="32" t="n"/>
      <c r="F227" s="33" t="n"/>
      <c r="G227" s="33" t="n"/>
    </row>
    <row r="228" ht="12.75" customHeight="1" s="110">
      <c r="A228" s="26">
        <f>Respuestas!C723</f>
        <v/>
      </c>
      <c r="E228" s="32" t="n"/>
      <c r="F228" s="33" t="n"/>
      <c r="G228" s="33" t="n"/>
    </row>
    <row r="229" ht="12.75" customHeight="1" s="110">
      <c r="A229" s="95">
        <f>Respuestas!C724</f>
        <v/>
      </c>
      <c r="E229" s="32" t="n"/>
      <c r="F229" s="33" t="n"/>
      <c r="G229" s="33" t="n"/>
    </row>
    <row r="230" ht="12.75" customHeight="1" s="110">
      <c r="A230" s="26">
        <f>Respuestas!C725</f>
        <v/>
      </c>
      <c r="E230" s="32" t="n"/>
      <c r="F230" s="33" t="n"/>
      <c r="G230" s="33" t="n"/>
    </row>
    <row r="231" ht="12.75" customHeight="1" s="110">
      <c r="A231" s="95">
        <f>Respuestas!C726</f>
        <v/>
      </c>
      <c r="E231" s="32" t="n"/>
      <c r="F231" s="33" t="n"/>
      <c r="G231" s="33" t="n"/>
    </row>
    <row r="232" ht="12.75" customHeight="1" s="110">
      <c r="A232" s="26">
        <f>Respuestas!C727</f>
        <v/>
      </c>
      <c r="E232" s="32" t="n"/>
      <c r="F232" s="33" t="n"/>
      <c r="G232" s="33" t="n"/>
    </row>
    <row r="233" ht="12.75" customHeight="1" s="110">
      <c r="A233" s="26">
        <f>Respuestas!C728</f>
        <v/>
      </c>
      <c r="E233" s="32" t="n"/>
      <c r="F233" s="33" t="n"/>
      <c r="G233" s="33" t="n"/>
    </row>
    <row r="234" ht="12.75" customHeight="1" s="110">
      <c r="A234" s="26">
        <f>Respuestas!C729</f>
        <v/>
      </c>
      <c r="E234" s="32" t="n"/>
      <c r="F234" s="33" t="n"/>
      <c r="G234" s="33" t="n"/>
    </row>
    <row r="235" ht="12.75" customHeight="1" s="110">
      <c r="A235" s="26">
        <f>Respuestas!C730</f>
        <v/>
      </c>
      <c r="E235" s="32" t="n"/>
      <c r="F235" s="33" t="n"/>
      <c r="G235" s="33" t="n"/>
    </row>
    <row r="236" ht="12.75" customHeight="1" s="110">
      <c r="A236" s="78" t="n"/>
      <c r="E236" s="32" t="n"/>
      <c r="F236" s="33" t="n"/>
      <c r="G236" s="33" t="n"/>
    </row>
    <row r="237" ht="12.75" customHeight="1" s="110">
      <c r="E237" s="32" t="n"/>
      <c r="F237" s="33" t="n"/>
      <c r="G237" s="33" t="n"/>
    </row>
    <row r="238" ht="12.75" customHeight="1" s="110">
      <c r="E238" s="32" t="n"/>
      <c r="F238" s="33" t="n"/>
      <c r="G238" s="33" t="n"/>
    </row>
    <row r="239" ht="12.75" customHeight="1" s="110">
      <c r="E239" s="32" t="n"/>
      <c r="F239" s="33" t="n"/>
      <c r="G239" s="33" t="n"/>
    </row>
    <row r="240" ht="12.75" customHeight="1" s="110">
      <c r="E240" s="32" t="n"/>
      <c r="F240" s="33" t="n"/>
      <c r="G240" s="33" t="n"/>
    </row>
    <row r="241" ht="12.75" customHeight="1" s="110">
      <c r="E241" s="32" t="n"/>
      <c r="F241" s="33" t="n"/>
      <c r="G241" s="33" t="n"/>
    </row>
    <row r="242" ht="12.75" customHeight="1" s="110">
      <c r="E242" s="32" t="n"/>
      <c r="F242" s="33" t="n"/>
      <c r="G242" s="33" t="n"/>
    </row>
    <row r="243" ht="12.75" customHeight="1" s="110">
      <c r="C243" s="73" t="inlineStr">
        <is>
          <t>Fdo.</t>
        </is>
      </c>
      <c r="E243" s="32" t="n"/>
      <c r="F243" s="33" t="n"/>
      <c r="G243" s="33" t="n"/>
    </row>
    <row r="244" ht="12.75" customHeight="1" s="110">
      <c r="E244" s="32" t="n"/>
      <c r="F244" s="33" t="n"/>
      <c r="G244" s="33" t="n"/>
    </row>
    <row r="245" ht="12.75" customHeight="1" s="110">
      <c r="E245" s="32" t="n"/>
      <c r="F245" s="33" t="n"/>
      <c r="G245" s="33" t="n"/>
    </row>
    <row r="246" ht="12.75" customHeight="1" s="110">
      <c r="E246" s="32" t="n"/>
      <c r="F246" s="33" t="n"/>
      <c r="G246" s="33" t="n"/>
    </row>
    <row r="247" ht="12.75" customHeight="1" s="110">
      <c r="E247" s="32" t="n"/>
      <c r="F247" s="33" t="n"/>
      <c r="G247" s="33" t="n"/>
    </row>
    <row r="248" ht="12.75" customHeight="1" s="110">
      <c r="E248" s="32" t="n"/>
      <c r="F248" s="33" t="n"/>
      <c r="G248" s="33" t="n"/>
    </row>
    <row r="249" ht="12.75" customHeight="1" s="110">
      <c r="E249" s="32" t="n"/>
      <c r="F249" s="33" t="n"/>
      <c r="G249" s="33" t="n"/>
    </row>
    <row r="250" ht="12.75" customHeight="1" s="110">
      <c r="E250" s="32" t="n"/>
      <c r="F250" s="33" t="n"/>
      <c r="G250" s="33" t="n"/>
    </row>
    <row r="251" ht="12.75" customHeight="1" s="110">
      <c r="E251" s="32" t="n"/>
      <c r="F251" s="33" t="n"/>
      <c r="G251" s="33" t="n"/>
    </row>
    <row r="252" ht="12.75" customHeight="1" s="110">
      <c r="E252" s="32" t="n"/>
      <c r="F252" s="33" t="n"/>
      <c r="G252" s="33" t="n"/>
    </row>
    <row r="253" ht="12.75" customHeight="1" s="110">
      <c r="E253" s="32" t="n"/>
      <c r="F253" s="33" t="n"/>
      <c r="G253" s="33" t="n"/>
    </row>
    <row r="254" ht="12.75" customHeight="1" s="110">
      <c r="E254" s="32" t="n"/>
      <c r="F254" s="33" t="n"/>
      <c r="G254" s="33" t="n"/>
    </row>
    <row r="255" ht="12.75" customHeight="1" s="110">
      <c r="E255" s="32" t="n"/>
      <c r="F255" s="33" t="n"/>
      <c r="G255" s="33" t="n"/>
    </row>
    <row r="256" ht="12.75" customHeight="1" s="110">
      <c r="E256" s="32" t="n"/>
      <c r="F256" s="33" t="n"/>
      <c r="G256" s="33" t="n"/>
    </row>
    <row r="257" ht="12.75" customHeight="1" s="110">
      <c r="E257" s="32" t="n"/>
      <c r="F257" s="33" t="n"/>
      <c r="G257" s="33" t="n"/>
    </row>
    <row r="258" ht="12.75" customHeight="1" s="110">
      <c r="E258" s="32" t="n"/>
      <c r="F258" s="33" t="n"/>
      <c r="G258" s="33" t="n"/>
    </row>
    <row r="259" ht="12.75" customHeight="1" s="110">
      <c r="E259" s="32" t="n"/>
      <c r="F259" s="33" t="n"/>
      <c r="G259" s="33" t="n"/>
    </row>
    <row r="260" ht="12.75" customHeight="1" s="110">
      <c r="E260" s="32" t="n"/>
      <c r="F260" s="33" t="n"/>
      <c r="G260" s="33" t="n"/>
    </row>
    <row r="261" ht="12.75" customHeight="1" s="110">
      <c r="E261" s="32" t="n"/>
      <c r="F261" s="33" t="n"/>
      <c r="G261" s="33" t="n"/>
    </row>
    <row r="262" ht="12.75" customHeight="1" s="110">
      <c r="E262" s="32" t="n"/>
      <c r="F262" s="33" t="n"/>
      <c r="G262" s="33" t="n"/>
    </row>
    <row r="263" ht="12.75" customHeight="1" s="110">
      <c r="E263" s="32" t="n"/>
      <c r="F263" s="33" t="n"/>
      <c r="G263" s="33" t="n"/>
    </row>
    <row r="264" ht="12.75" customHeight="1" s="110">
      <c r="E264" s="32" t="n"/>
      <c r="F264" s="33" t="n"/>
      <c r="G264" s="33" t="n"/>
    </row>
    <row r="265" ht="12.75" customHeight="1" s="110">
      <c r="E265" s="32" t="n"/>
      <c r="F265" s="33" t="n"/>
      <c r="G265" s="33" t="n"/>
    </row>
    <row r="266" ht="12.75" customHeight="1" s="110">
      <c r="E266" s="32" t="n"/>
      <c r="F266" s="33" t="n"/>
      <c r="G266" s="33" t="n"/>
    </row>
    <row r="267" ht="12.75" customHeight="1" s="110">
      <c r="E267" s="32" t="n"/>
      <c r="F267" s="33" t="n"/>
      <c r="G267" s="33" t="n"/>
    </row>
    <row r="268" ht="12.75" customHeight="1" s="110">
      <c r="E268" s="32" t="n"/>
      <c r="F268" s="33" t="n"/>
      <c r="G268" s="33" t="n"/>
    </row>
    <row r="269" ht="12.75" customHeight="1" s="110">
      <c r="E269" s="32" t="n"/>
      <c r="F269" s="33" t="n"/>
      <c r="G269" s="33" t="n"/>
    </row>
    <row r="270" ht="12.75" customHeight="1" s="110">
      <c r="E270" s="32" t="n"/>
      <c r="F270" s="33" t="n"/>
      <c r="G270" s="33" t="n"/>
    </row>
    <row r="271" ht="12.75" customHeight="1" s="110">
      <c r="E271" s="32" t="n"/>
      <c r="F271" s="33" t="n"/>
      <c r="G271" s="33" t="n"/>
    </row>
    <row r="272" ht="12.75" customHeight="1" s="110">
      <c r="E272" s="32" t="n"/>
      <c r="F272" s="33" t="n"/>
      <c r="G272" s="33" t="n"/>
    </row>
    <row r="273" ht="12.75" customHeight="1" s="110">
      <c r="E273" s="32" t="n"/>
      <c r="F273" s="33" t="n"/>
      <c r="G273" s="33" t="n"/>
    </row>
    <row r="274" ht="12.75" customHeight="1" s="110">
      <c r="E274" s="32" t="n"/>
      <c r="F274" s="33" t="n"/>
      <c r="G274" s="33" t="n"/>
    </row>
    <row r="275" ht="12.75" customHeight="1" s="110">
      <c r="E275" s="32" t="n"/>
      <c r="F275" s="33" t="n"/>
      <c r="G275" s="33" t="n"/>
    </row>
    <row r="276" ht="12.75" customHeight="1" s="110">
      <c r="E276" s="32" t="n"/>
      <c r="F276" s="33" t="n"/>
      <c r="G276" s="33" t="n"/>
    </row>
    <row r="277" ht="12.75" customHeight="1" s="110">
      <c r="E277" s="32" t="n"/>
      <c r="F277" s="33" t="n"/>
      <c r="G277" s="33" t="n"/>
    </row>
    <row r="278" ht="12.75" customHeight="1" s="110">
      <c r="E278" s="32" t="n"/>
      <c r="F278" s="33" t="n"/>
      <c r="G278" s="33" t="n"/>
    </row>
    <row r="279" ht="12.75" customHeight="1" s="110">
      <c r="E279" s="32" t="n"/>
      <c r="F279" s="33" t="n"/>
      <c r="G279" s="33" t="n"/>
    </row>
    <row r="280" ht="12.75" customHeight="1" s="110">
      <c r="E280" s="32" t="n"/>
      <c r="F280" s="33" t="n"/>
      <c r="G280" s="33" t="n"/>
    </row>
    <row r="281" ht="12.75" customHeight="1" s="110">
      <c r="E281" s="32" t="n"/>
      <c r="F281" s="33" t="n"/>
      <c r="G281" s="33" t="n"/>
    </row>
    <row r="282" ht="12.75" customHeight="1" s="110">
      <c r="E282" s="32" t="n"/>
      <c r="F282" s="33" t="n"/>
      <c r="G282" s="33" t="n"/>
    </row>
    <row r="283" ht="12.75" customHeight="1" s="110">
      <c r="E283" s="32" t="n"/>
      <c r="F283" s="33" t="n"/>
      <c r="G283" s="33" t="n"/>
    </row>
    <row r="284" ht="12.75" customHeight="1" s="110">
      <c r="E284" s="32" t="n"/>
      <c r="F284" s="33" t="n"/>
      <c r="G284" s="33" t="n"/>
    </row>
    <row r="285" ht="12.75" customHeight="1" s="110">
      <c r="E285" s="32" t="n"/>
      <c r="F285" s="33" t="n"/>
      <c r="G285" s="33" t="n"/>
    </row>
    <row r="286" ht="12.75" customHeight="1" s="110">
      <c r="E286" s="32" t="n"/>
      <c r="F286" s="33" t="n"/>
      <c r="G286" s="33" t="n"/>
    </row>
    <row r="287" ht="12.75" customHeight="1" s="110">
      <c r="E287" s="32" t="n"/>
      <c r="F287" s="33" t="n"/>
      <c r="G287" s="33" t="n"/>
    </row>
    <row r="288" ht="12.75" customHeight="1" s="110">
      <c r="E288" s="32" t="n"/>
      <c r="F288" s="33" t="n"/>
      <c r="G288" s="33" t="n"/>
    </row>
    <row r="289" ht="12.75" customHeight="1" s="110">
      <c r="E289" s="32" t="n"/>
      <c r="F289" s="33" t="n"/>
      <c r="G289" s="33" t="n"/>
    </row>
    <row r="290" ht="12.75" customHeight="1" s="110">
      <c r="E290" s="32" t="n"/>
      <c r="F290" s="33" t="n"/>
      <c r="G290" s="33" t="n"/>
    </row>
    <row r="291" ht="12.75" customHeight="1" s="110">
      <c r="E291" s="32" t="n"/>
      <c r="F291" s="33" t="n"/>
      <c r="G291" s="33" t="n"/>
    </row>
    <row r="292" ht="12.75" customHeight="1" s="110">
      <c r="E292" s="32" t="n"/>
      <c r="F292" s="33" t="n"/>
      <c r="G292" s="33" t="n"/>
    </row>
    <row r="293" ht="12.75" customHeight="1" s="110">
      <c r="E293" s="32" t="n"/>
      <c r="F293" s="33" t="n"/>
      <c r="G293" s="33" t="n"/>
    </row>
    <row r="294" ht="12.75" customHeight="1" s="110">
      <c r="E294" s="32" t="n"/>
      <c r="F294" s="33" t="n"/>
      <c r="G294" s="33" t="n"/>
    </row>
    <row r="295" ht="12.75" customHeight="1" s="110">
      <c r="E295" s="32" t="n"/>
      <c r="F295" s="33" t="n"/>
      <c r="G295" s="33" t="n"/>
    </row>
    <row r="296" ht="12.75" customHeight="1" s="110">
      <c r="E296" s="32" t="n"/>
      <c r="F296" s="33" t="n"/>
      <c r="G296" s="33" t="n"/>
    </row>
    <row r="297" ht="12.75" customHeight="1" s="110">
      <c r="E297" s="32" t="n"/>
      <c r="F297" s="33" t="n"/>
      <c r="G297" s="33" t="n"/>
    </row>
    <row r="298" ht="12.75" customHeight="1" s="110">
      <c r="E298" s="32" t="n"/>
      <c r="F298" s="33" t="n"/>
      <c r="G298" s="33" t="n"/>
    </row>
    <row r="299" ht="12.75" customHeight="1" s="110">
      <c r="E299" s="32" t="n"/>
      <c r="F299" s="33" t="n"/>
      <c r="G299" s="33" t="n"/>
    </row>
    <row r="300" ht="12.75" customHeight="1" s="110">
      <c r="E300" s="32" t="n"/>
      <c r="F300" s="33" t="n"/>
      <c r="G300" s="33" t="n"/>
    </row>
    <row r="301" ht="12.75" customHeight="1" s="110">
      <c r="E301" s="32" t="n"/>
      <c r="F301" s="33" t="n"/>
      <c r="G301" s="33" t="n"/>
    </row>
    <row r="302" ht="12.75" customHeight="1" s="110">
      <c r="E302" s="32" t="n"/>
      <c r="F302" s="33" t="n"/>
      <c r="G302" s="33" t="n"/>
    </row>
    <row r="303" ht="12.75" customHeight="1" s="110">
      <c r="E303" s="32" t="n"/>
      <c r="F303" s="33" t="n"/>
      <c r="G303" s="33" t="n"/>
    </row>
    <row r="304" ht="12.75" customHeight="1" s="110">
      <c r="E304" s="32" t="n"/>
      <c r="F304" s="33" t="n"/>
      <c r="G304" s="33" t="n"/>
    </row>
    <row r="305" ht="12.75" customHeight="1" s="110">
      <c r="E305" s="32" t="n"/>
      <c r="F305" s="33" t="n"/>
      <c r="G305" s="33" t="n"/>
    </row>
    <row r="306" ht="12.75" customHeight="1" s="110">
      <c r="E306" s="32" t="n"/>
      <c r="F306" s="33" t="n"/>
      <c r="G306" s="33" t="n"/>
    </row>
    <row r="307" ht="12.75" customHeight="1" s="110">
      <c r="E307" s="32" t="n"/>
      <c r="F307" s="33" t="n"/>
      <c r="G307" s="33" t="n"/>
    </row>
    <row r="308" ht="12.75" customHeight="1" s="110">
      <c r="E308" s="32" t="n"/>
      <c r="F308" s="33" t="n"/>
      <c r="G308" s="33" t="n"/>
    </row>
    <row r="309" ht="12.75" customHeight="1" s="110">
      <c r="E309" s="32" t="n"/>
      <c r="F309" s="33" t="n"/>
      <c r="G309" s="33" t="n"/>
    </row>
    <row r="310" ht="12.75" customHeight="1" s="110">
      <c r="E310" s="32" t="n"/>
      <c r="F310" s="33" t="n"/>
      <c r="G310" s="33" t="n"/>
    </row>
    <row r="311" ht="12.75" customHeight="1" s="110">
      <c r="E311" s="32" t="n"/>
      <c r="F311" s="33" t="n"/>
      <c r="G311" s="33" t="n"/>
    </row>
    <row r="312" ht="12.75" customHeight="1" s="110">
      <c r="E312" s="32" t="n"/>
      <c r="F312" s="33" t="n"/>
      <c r="G312" s="33" t="n"/>
    </row>
    <row r="313" ht="12.75" customHeight="1" s="110">
      <c r="E313" s="32" t="n"/>
      <c r="F313" s="33" t="n"/>
      <c r="G313" s="33" t="n"/>
    </row>
    <row r="314" ht="12.75" customHeight="1" s="110">
      <c r="E314" s="32" t="n"/>
      <c r="F314" s="33" t="n"/>
      <c r="G314" s="33" t="n"/>
    </row>
    <row r="315" ht="12.75" customHeight="1" s="110">
      <c r="E315" s="32" t="n"/>
      <c r="F315" s="33" t="n"/>
      <c r="G315" s="33" t="n"/>
    </row>
    <row r="316" ht="12.75" customHeight="1" s="110">
      <c r="E316" s="32" t="n"/>
      <c r="F316" s="33" t="n"/>
      <c r="G316" s="33" t="n"/>
    </row>
    <row r="317" ht="12.75" customHeight="1" s="110">
      <c r="E317" s="32" t="n"/>
      <c r="F317" s="33" t="n"/>
      <c r="G317" s="33" t="n"/>
    </row>
    <row r="318" ht="12.75" customHeight="1" s="110">
      <c r="E318" s="32" t="n"/>
      <c r="F318" s="33" t="n"/>
      <c r="G318" s="33" t="n"/>
    </row>
    <row r="319" ht="12.75" customHeight="1" s="110">
      <c r="E319" s="32" t="n"/>
      <c r="F319" s="33" t="n"/>
      <c r="G319" s="33" t="n"/>
    </row>
    <row r="320" ht="12.75" customHeight="1" s="110">
      <c r="E320" s="32" t="n"/>
      <c r="F320" s="33" t="n"/>
      <c r="G320" s="33" t="n"/>
    </row>
    <row r="321" ht="12.75" customHeight="1" s="110">
      <c r="E321" s="32" t="n"/>
      <c r="F321" s="33" t="n"/>
      <c r="G321" s="33" t="n"/>
    </row>
    <row r="322" ht="12.75" customHeight="1" s="110">
      <c r="E322" s="32" t="n"/>
      <c r="F322" s="33" t="n"/>
      <c r="G322" s="33" t="n"/>
    </row>
    <row r="323" ht="12.75" customHeight="1" s="110">
      <c r="E323" s="32" t="n"/>
      <c r="F323" s="33" t="n"/>
      <c r="G323" s="33" t="n"/>
    </row>
    <row r="324" ht="12.75" customHeight="1" s="110">
      <c r="E324" s="32" t="n"/>
      <c r="F324" s="33" t="n"/>
      <c r="G324" s="33" t="n"/>
    </row>
    <row r="325" ht="12.75" customHeight="1" s="110">
      <c r="E325" s="32" t="n"/>
      <c r="F325" s="33" t="n"/>
      <c r="G325" s="33" t="n"/>
    </row>
    <row r="326" ht="12.75" customHeight="1" s="110">
      <c r="E326" s="32" t="n"/>
      <c r="F326" s="33" t="n"/>
      <c r="G326" s="33" t="n"/>
    </row>
    <row r="327" ht="12.75" customHeight="1" s="110">
      <c r="E327" s="32" t="n"/>
      <c r="F327" s="33" t="n"/>
      <c r="G327" s="33" t="n"/>
    </row>
    <row r="328" ht="12.75" customHeight="1" s="110">
      <c r="E328" s="32" t="n"/>
      <c r="F328" s="33" t="n"/>
      <c r="G328" s="33" t="n"/>
    </row>
    <row r="329" ht="12.75" customHeight="1" s="110">
      <c r="E329" s="32" t="n"/>
      <c r="F329" s="33" t="n"/>
      <c r="G329" s="33" t="n"/>
    </row>
    <row r="330" ht="12.75" customHeight="1" s="110">
      <c r="E330" s="32" t="n"/>
      <c r="F330" s="33" t="n"/>
      <c r="G330" s="33" t="n"/>
    </row>
    <row r="331" ht="12.75" customHeight="1" s="110">
      <c r="E331" s="32" t="n"/>
      <c r="F331" s="33" t="n"/>
      <c r="G331" s="33" t="n"/>
    </row>
    <row r="332" ht="12.75" customHeight="1" s="110">
      <c r="E332" s="32" t="n"/>
      <c r="F332" s="33" t="n"/>
      <c r="G332" s="33" t="n"/>
    </row>
    <row r="333" ht="12.75" customHeight="1" s="110">
      <c r="E333" s="32" t="n"/>
      <c r="F333" s="33" t="n"/>
      <c r="G333" s="33" t="n"/>
    </row>
    <row r="334" ht="12.75" customHeight="1" s="110">
      <c r="E334" s="32" t="n"/>
      <c r="F334" s="33" t="n"/>
      <c r="G334" s="33" t="n"/>
    </row>
    <row r="335" ht="12.75" customHeight="1" s="110">
      <c r="E335" s="32" t="n"/>
      <c r="F335" s="33" t="n"/>
      <c r="G335" s="33" t="n"/>
    </row>
    <row r="336" ht="12.75" customHeight="1" s="110">
      <c r="E336" s="32" t="n"/>
      <c r="F336" s="33" t="n"/>
      <c r="G336" s="33" t="n"/>
    </row>
    <row r="337" ht="12.75" customHeight="1" s="110">
      <c r="E337" s="32" t="n"/>
      <c r="F337" s="33" t="n"/>
      <c r="G337" s="33" t="n"/>
    </row>
    <row r="338" ht="12.75" customHeight="1" s="110">
      <c r="E338" s="32" t="n"/>
      <c r="F338" s="33" t="n"/>
      <c r="G338" s="33" t="n"/>
    </row>
    <row r="339" ht="12.75" customHeight="1" s="110">
      <c r="E339" s="32" t="n"/>
      <c r="F339" s="33" t="n"/>
      <c r="G339" s="33" t="n"/>
    </row>
    <row r="340" ht="12.75" customHeight="1" s="110">
      <c r="E340" s="32" t="n"/>
      <c r="F340" s="33" t="n"/>
      <c r="G340" s="33" t="n"/>
    </row>
    <row r="341" ht="12.75" customHeight="1" s="110">
      <c r="E341" s="32" t="n"/>
      <c r="F341" s="33" t="n"/>
      <c r="G341" s="33" t="n"/>
    </row>
    <row r="342" ht="12.75" customHeight="1" s="110">
      <c r="E342" s="32" t="n"/>
      <c r="F342" s="33" t="n"/>
      <c r="G342" s="33" t="n"/>
    </row>
    <row r="343" ht="12.75" customHeight="1" s="110">
      <c r="E343" s="32" t="n"/>
      <c r="F343" s="33" t="n"/>
      <c r="G343" s="33" t="n"/>
    </row>
    <row r="344" ht="12.75" customHeight="1" s="110">
      <c r="E344" s="32" t="n"/>
      <c r="F344" s="33" t="n"/>
      <c r="G344" s="33" t="n"/>
    </row>
    <row r="345" ht="12.75" customHeight="1" s="110">
      <c r="E345" s="32" t="n"/>
      <c r="F345" s="33" t="n"/>
      <c r="G345" s="33" t="n"/>
    </row>
    <row r="346" ht="12.75" customHeight="1" s="110">
      <c r="E346" s="32" t="n"/>
      <c r="F346" s="33" t="n"/>
      <c r="G346" s="33" t="n"/>
    </row>
    <row r="347" ht="12.75" customHeight="1" s="110">
      <c r="E347" s="32" t="n"/>
      <c r="F347" s="33" t="n"/>
      <c r="G347" s="33" t="n"/>
    </row>
    <row r="348" ht="12.75" customHeight="1" s="110">
      <c r="E348" s="32" t="n"/>
      <c r="F348" s="33" t="n"/>
      <c r="G348" s="33" t="n"/>
    </row>
    <row r="349" ht="12.75" customHeight="1" s="110">
      <c r="E349" s="32" t="n"/>
      <c r="F349" s="33" t="n"/>
      <c r="G349" s="33" t="n"/>
    </row>
    <row r="350" ht="12.75" customHeight="1" s="110">
      <c r="E350" s="32" t="n"/>
      <c r="F350" s="33" t="n"/>
      <c r="G350" s="33" t="n"/>
    </row>
    <row r="351" ht="12.75" customHeight="1" s="110">
      <c r="E351" s="32" t="n"/>
      <c r="F351" s="33" t="n"/>
      <c r="G351" s="33" t="n"/>
    </row>
    <row r="352" ht="12.75" customHeight="1" s="110">
      <c r="E352" s="32" t="n"/>
      <c r="F352" s="33" t="n"/>
      <c r="G352" s="33" t="n"/>
    </row>
    <row r="353" ht="12.75" customHeight="1" s="110">
      <c r="E353" s="32" t="n"/>
      <c r="F353" s="33" t="n"/>
      <c r="G353" s="33" t="n"/>
    </row>
    <row r="354" ht="12.75" customHeight="1" s="110">
      <c r="E354" s="32" t="n"/>
      <c r="F354" s="33" t="n"/>
      <c r="G354" s="33" t="n"/>
    </row>
    <row r="355" ht="12.75" customHeight="1" s="110">
      <c r="E355" s="32" t="n"/>
      <c r="F355" s="33" t="n"/>
      <c r="G355" s="33" t="n"/>
    </row>
    <row r="356" ht="12.75" customHeight="1" s="110">
      <c r="E356" s="32" t="n"/>
      <c r="F356" s="33" t="n"/>
      <c r="G356" s="33" t="n"/>
    </row>
    <row r="357" ht="12.75" customHeight="1" s="110">
      <c r="E357" s="32" t="n"/>
      <c r="F357" s="33" t="n"/>
      <c r="G357" s="33" t="n"/>
    </row>
    <row r="358" ht="12.75" customHeight="1" s="110">
      <c r="E358" s="32" t="n"/>
      <c r="F358" s="33" t="n"/>
      <c r="G358" s="33" t="n"/>
    </row>
    <row r="359" ht="12.75" customHeight="1" s="110">
      <c r="E359" s="32" t="n"/>
      <c r="F359" s="33" t="n"/>
      <c r="G359" s="33" t="n"/>
    </row>
    <row r="360" ht="12.75" customHeight="1" s="110">
      <c r="E360" s="32" t="n"/>
      <c r="F360" s="33" t="n"/>
      <c r="G360" s="33" t="n"/>
    </row>
    <row r="361" ht="12.75" customHeight="1" s="110">
      <c r="E361" s="32" t="n"/>
      <c r="F361" s="33" t="n"/>
      <c r="G361" s="33" t="n"/>
    </row>
    <row r="362" ht="12.75" customHeight="1" s="110">
      <c r="E362" s="32" t="n"/>
      <c r="F362" s="33" t="n"/>
      <c r="G362" s="33" t="n"/>
    </row>
    <row r="363" ht="12.75" customHeight="1" s="110">
      <c r="E363" s="32" t="n"/>
      <c r="F363" s="33" t="n"/>
      <c r="G363" s="33" t="n"/>
    </row>
    <row r="364" ht="12.75" customHeight="1" s="110">
      <c r="E364" s="32" t="n"/>
      <c r="F364" s="33" t="n"/>
      <c r="G364" s="33" t="n"/>
    </row>
    <row r="365" ht="12.75" customHeight="1" s="110">
      <c r="E365" s="32" t="n"/>
      <c r="F365" s="33" t="n"/>
      <c r="G365" s="33" t="n"/>
    </row>
    <row r="366" ht="12.75" customHeight="1" s="110">
      <c r="E366" s="32" t="n"/>
      <c r="F366" s="33" t="n"/>
      <c r="G366" s="33" t="n"/>
    </row>
    <row r="367" ht="12.75" customHeight="1" s="110">
      <c r="E367" s="32" t="n"/>
      <c r="F367" s="33" t="n"/>
      <c r="G367" s="33" t="n"/>
    </row>
    <row r="368" ht="12.75" customHeight="1" s="110">
      <c r="E368" s="32" t="n"/>
      <c r="F368" s="33" t="n"/>
      <c r="G368" s="33" t="n"/>
    </row>
    <row r="369" ht="12.75" customHeight="1" s="110">
      <c r="E369" s="32" t="n"/>
      <c r="F369" s="33" t="n"/>
      <c r="G369" s="33" t="n"/>
    </row>
    <row r="370" ht="12.75" customHeight="1" s="110">
      <c r="E370" s="32" t="n"/>
      <c r="F370" s="33" t="n"/>
      <c r="G370" s="33" t="n"/>
    </row>
    <row r="371" ht="12.75" customHeight="1" s="110">
      <c r="E371" s="32" t="n"/>
      <c r="F371" s="33" t="n"/>
      <c r="G371" s="33" t="n"/>
    </row>
    <row r="372" ht="12.75" customHeight="1" s="110">
      <c r="E372" s="32" t="n"/>
      <c r="F372" s="33" t="n"/>
      <c r="G372" s="33" t="n"/>
    </row>
    <row r="373" ht="12.75" customHeight="1" s="110">
      <c r="E373" s="32" t="n"/>
      <c r="F373" s="33" t="n"/>
      <c r="G373" s="33" t="n"/>
    </row>
    <row r="374" ht="12.75" customHeight="1" s="110">
      <c r="E374" s="32" t="n"/>
      <c r="F374" s="33" t="n"/>
      <c r="G374" s="33" t="n"/>
    </row>
    <row r="375" ht="12.75" customHeight="1" s="110">
      <c r="E375" s="32" t="n"/>
      <c r="F375" s="33" t="n"/>
      <c r="G375" s="33" t="n"/>
    </row>
    <row r="376" ht="12.75" customHeight="1" s="110">
      <c r="E376" s="32" t="n"/>
      <c r="F376" s="33" t="n"/>
      <c r="G376" s="33" t="n"/>
    </row>
    <row r="377" ht="12.75" customHeight="1" s="110">
      <c r="E377" s="32" t="n"/>
      <c r="F377" s="33" t="n"/>
      <c r="G377" s="33" t="n"/>
    </row>
    <row r="378" ht="12.75" customHeight="1" s="110">
      <c r="E378" s="32" t="n"/>
      <c r="F378" s="33" t="n"/>
      <c r="G378" s="33" t="n"/>
    </row>
    <row r="379" ht="12.75" customHeight="1" s="110">
      <c r="E379" s="32" t="n"/>
      <c r="F379" s="33" t="n"/>
      <c r="G379" s="33" t="n"/>
    </row>
    <row r="380" ht="12.75" customHeight="1" s="110">
      <c r="E380" s="32" t="n"/>
      <c r="F380" s="33" t="n"/>
      <c r="G380" s="33" t="n"/>
    </row>
    <row r="381" ht="12.75" customHeight="1" s="110">
      <c r="E381" s="32" t="n"/>
      <c r="F381" s="33" t="n"/>
      <c r="G381" s="33" t="n"/>
    </row>
    <row r="382" ht="12.75" customHeight="1" s="110">
      <c r="E382" s="32" t="n"/>
      <c r="F382" s="33" t="n"/>
      <c r="G382" s="33" t="n"/>
    </row>
    <row r="383" ht="12.75" customHeight="1" s="110">
      <c r="E383" s="32" t="n"/>
      <c r="F383" s="33" t="n"/>
      <c r="G383" s="33" t="n"/>
    </row>
    <row r="384" ht="12.75" customHeight="1" s="110">
      <c r="E384" s="32" t="n"/>
      <c r="F384" s="33" t="n"/>
      <c r="G384" s="33" t="n"/>
    </row>
    <row r="385" ht="12.75" customHeight="1" s="110">
      <c r="E385" s="32" t="n"/>
      <c r="F385" s="33" t="n"/>
      <c r="G385" s="33" t="n"/>
    </row>
    <row r="386" ht="12.75" customHeight="1" s="110">
      <c r="E386" s="32" t="n"/>
      <c r="F386" s="33" t="n"/>
      <c r="G386" s="33" t="n"/>
    </row>
    <row r="387" ht="12.75" customHeight="1" s="110">
      <c r="E387" s="32" t="n"/>
      <c r="F387" s="33" t="n"/>
      <c r="G387" s="33" t="n"/>
    </row>
    <row r="388" ht="12.75" customHeight="1" s="110">
      <c r="E388" s="32" t="n"/>
      <c r="F388" s="33" t="n"/>
      <c r="G388" s="33" t="n"/>
    </row>
    <row r="389" ht="12.75" customHeight="1" s="110">
      <c r="E389" s="32" t="n"/>
      <c r="F389" s="33" t="n"/>
      <c r="G389" s="33" t="n"/>
    </row>
    <row r="390" ht="12.75" customHeight="1" s="110">
      <c r="E390" s="32" t="n"/>
      <c r="F390" s="33" t="n"/>
      <c r="G390" s="33" t="n"/>
    </row>
    <row r="391" ht="12.75" customHeight="1" s="110">
      <c r="E391" s="32" t="n"/>
      <c r="F391" s="33" t="n"/>
      <c r="G391" s="33" t="n"/>
    </row>
    <row r="392" ht="12.75" customHeight="1" s="110">
      <c r="E392" s="32" t="n"/>
      <c r="F392" s="33" t="n"/>
      <c r="G392" s="33" t="n"/>
    </row>
    <row r="393" ht="12.75" customHeight="1" s="110">
      <c r="E393" s="32" t="n"/>
      <c r="F393" s="33" t="n"/>
      <c r="G393" s="33" t="n"/>
    </row>
    <row r="394" ht="12.75" customHeight="1" s="110">
      <c r="E394" s="32" t="n"/>
      <c r="F394" s="33" t="n"/>
      <c r="G394" s="33" t="n"/>
    </row>
    <row r="395" ht="12.75" customHeight="1" s="110">
      <c r="E395" s="32" t="n"/>
      <c r="F395" s="33" t="n"/>
      <c r="G395" s="33" t="n"/>
    </row>
    <row r="396" ht="12.75" customHeight="1" s="110">
      <c r="E396" s="32" t="n"/>
      <c r="F396" s="33" t="n"/>
      <c r="G396" s="33" t="n"/>
    </row>
    <row r="397" ht="12.75" customHeight="1" s="110">
      <c r="E397" s="32" t="n"/>
      <c r="F397" s="33" t="n"/>
      <c r="G397" s="33" t="n"/>
    </row>
    <row r="398" ht="12.75" customHeight="1" s="110">
      <c r="E398" s="32" t="n"/>
      <c r="F398" s="33" t="n"/>
      <c r="G398" s="33" t="n"/>
    </row>
    <row r="399" ht="12.75" customHeight="1" s="110">
      <c r="E399" s="32" t="n"/>
      <c r="F399" s="33" t="n"/>
      <c r="G399" s="33" t="n"/>
    </row>
    <row r="400" ht="12.75" customHeight="1" s="110">
      <c r="E400" s="32" t="n"/>
      <c r="F400" s="33" t="n"/>
      <c r="G400" s="33" t="n"/>
    </row>
    <row r="401" ht="12.75" customHeight="1" s="110">
      <c r="E401" s="32" t="n"/>
      <c r="F401" s="33" t="n"/>
      <c r="G401" s="33" t="n"/>
    </row>
    <row r="402" ht="12.75" customHeight="1" s="110">
      <c r="E402" s="32" t="n"/>
      <c r="F402" s="33" t="n"/>
      <c r="G402" s="33" t="n"/>
    </row>
    <row r="403" ht="12.75" customHeight="1" s="110">
      <c r="E403" s="32" t="n"/>
      <c r="F403" s="33" t="n"/>
      <c r="G403" s="33" t="n"/>
    </row>
    <row r="404" ht="12.75" customHeight="1" s="110">
      <c r="E404" s="32" t="n"/>
      <c r="F404" s="33" t="n"/>
      <c r="G404" s="33" t="n"/>
    </row>
    <row r="405" ht="12.75" customHeight="1" s="110">
      <c r="E405" s="32" t="n"/>
      <c r="F405" s="33" t="n"/>
      <c r="G405" s="33" t="n"/>
    </row>
    <row r="406" ht="12.75" customHeight="1" s="110">
      <c r="E406" s="32" t="n"/>
      <c r="F406" s="33" t="n"/>
      <c r="G406" s="33" t="n"/>
    </row>
    <row r="407" ht="12.75" customHeight="1" s="110">
      <c r="E407" s="32" t="n"/>
      <c r="F407" s="33" t="n"/>
      <c r="G407" s="33" t="n"/>
    </row>
    <row r="408" ht="12.75" customHeight="1" s="110">
      <c r="E408" s="32" t="n"/>
      <c r="F408" s="33" t="n"/>
      <c r="G408" s="33" t="n"/>
    </row>
    <row r="409" ht="12.75" customHeight="1" s="110">
      <c r="E409" s="32" t="n"/>
      <c r="F409" s="33" t="n"/>
      <c r="G409" s="33" t="n"/>
    </row>
    <row r="410" ht="12.75" customHeight="1" s="110">
      <c r="E410" s="32" t="n"/>
      <c r="F410" s="33" t="n"/>
      <c r="G410" s="33" t="n"/>
    </row>
    <row r="411" ht="12.75" customHeight="1" s="110">
      <c r="E411" s="32" t="n"/>
      <c r="F411" s="33" t="n"/>
      <c r="G411" s="33" t="n"/>
    </row>
    <row r="412" ht="12.75" customHeight="1" s="110">
      <c r="E412" s="32" t="n"/>
      <c r="F412" s="33" t="n"/>
      <c r="G412" s="33" t="n"/>
    </row>
    <row r="413" ht="12.75" customHeight="1" s="110">
      <c r="E413" s="32" t="n"/>
      <c r="F413" s="33" t="n"/>
      <c r="G413" s="33" t="n"/>
    </row>
    <row r="414" ht="12.75" customHeight="1" s="110">
      <c r="E414" s="32" t="n"/>
      <c r="F414" s="33" t="n"/>
      <c r="G414" s="33" t="n"/>
    </row>
    <row r="415" ht="12.75" customHeight="1" s="110">
      <c r="E415" s="32" t="n"/>
      <c r="F415" s="33" t="n"/>
      <c r="G415" s="33" t="n"/>
    </row>
    <row r="416" ht="12.75" customHeight="1" s="110">
      <c r="E416" s="32" t="n"/>
      <c r="F416" s="33" t="n"/>
      <c r="G416" s="33" t="n"/>
    </row>
    <row r="417" ht="12.75" customHeight="1" s="110">
      <c r="E417" s="32" t="n"/>
      <c r="F417" s="33" t="n"/>
      <c r="G417" s="33" t="n"/>
    </row>
    <row r="418" ht="12.75" customHeight="1" s="110">
      <c r="E418" s="32" t="n"/>
      <c r="F418" s="33" t="n"/>
      <c r="G418" s="33" t="n"/>
    </row>
    <row r="419" ht="12.75" customHeight="1" s="110">
      <c r="E419" s="32" t="n"/>
      <c r="F419" s="33" t="n"/>
      <c r="G419" s="33" t="n"/>
    </row>
    <row r="420" ht="12.75" customHeight="1" s="110">
      <c r="E420" s="32" t="n"/>
      <c r="F420" s="33" t="n"/>
      <c r="G420" s="33" t="n"/>
    </row>
    <row r="421" ht="12.75" customHeight="1" s="110">
      <c r="E421" s="32" t="n"/>
      <c r="F421" s="33" t="n"/>
      <c r="G421" s="33" t="n"/>
    </row>
    <row r="422" ht="12.75" customHeight="1" s="110">
      <c r="E422" s="32" t="n"/>
      <c r="F422" s="33" t="n"/>
      <c r="G422" s="33" t="n"/>
    </row>
    <row r="423" ht="12.75" customHeight="1" s="110">
      <c r="E423" s="32" t="n"/>
      <c r="F423" s="33" t="n"/>
      <c r="G423" s="33" t="n"/>
    </row>
    <row r="424" ht="12.75" customHeight="1" s="110">
      <c r="E424" s="32" t="n"/>
      <c r="F424" s="33" t="n"/>
      <c r="G424" s="33" t="n"/>
    </row>
    <row r="425" ht="12.75" customHeight="1" s="110">
      <c r="E425" s="32" t="n"/>
      <c r="F425" s="33" t="n"/>
      <c r="G425" s="33" t="n"/>
    </row>
    <row r="426" ht="12.75" customHeight="1" s="110">
      <c r="E426" s="32" t="n"/>
      <c r="F426" s="33" t="n"/>
      <c r="G426" s="33" t="n"/>
    </row>
    <row r="427" ht="12.75" customHeight="1" s="110">
      <c r="E427" s="32" t="n"/>
      <c r="F427" s="33" t="n"/>
      <c r="G427" s="33" t="n"/>
    </row>
    <row r="428" ht="12.75" customHeight="1" s="110">
      <c r="E428" s="32" t="n"/>
      <c r="F428" s="33" t="n"/>
      <c r="G428" s="33" t="n"/>
    </row>
    <row r="429" ht="12.75" customHeight="1" s="110">
      <c r="E429" s="32" t="n"/>
      <c r="F429" s="33" t="n"/>
      <c r="G429" s="33" t="n"/>
    </row>
    <row r="430" ht="12.75" customHeight="1" s="110">
      <c r="E430" s="32" t="n"/>
      <c r="F430" s="33" t="n"/>
      <c r="G430" s="33" t="n"/>
    </row>
    <row r="431" ht="12.75" customHeight="1" s="110">
      <c r="E431" s="32" t="n"/>
      <c r="F431" s="33" t="n"/>
      <c r="G431" s="33" t="n"/>
    </row>
    <row r="432" ht="12.75" customHeight="1" s="110">
      <c r="E432" s="32" t="n"/>
      <c r="F432" s="33" t="n"/>
      <c r="G432" s="33" t="n"/>
    </row>
    <row r="433" ht="12.75" customHeight="1" s="110">
      <c r="E433" s="32" t="n"/>
      <c r="F433" s="33" t="n"/>
      <c r="G433" s="33" t="n"/>
    </row>
    <row r="434" ht="12.75" customHeight="1" s="110">
      <c r="E434" s="32" t="n"/>
      <c r="F434" s="33" t="n"/>
      <c r="G434" s="33" t="n"/>
    </row>
    <row r="435" ht="12.75" customHeight="1" s="110">
      <c r="E435" s="32" t="n"/>
      <c r="F435" s="33" t="n"/>
      <c r="G435" s="33" t="n"/>
    </row>
    <row r="436" ht="12.75" customHeight="1" s="110">
      <c r="E436" s="32" t="n"/>
      <c r="F436" s="33" t="n"/>
      <c r="G436" s="33" t="n"/>
    </row>
    <row r="437" ht="12.75" customHeight="1" s="110">
      <c r="E437" s="32" t="n"/>
      <c r="F437" s="33" t="n"/>
      <c r="G437" s="33" t="n"/>
    </row>
    <row r="438" ht="12.75" customHeight="1" s="110">
      <c r="E438" s="32" t="n"/>
      <c r="F438" s="33" t="n"/>
      <c r="G438" s="33" t="n"/>
    </row>
    <row r="439" ht="12.75" customHeight="1" s="110">
      <c r="E439" s="32" t="n"/>
      <c r="F439" s="33" t="n"/>
      <c r="G439" s="33" t="n"/>
    </row>
    <row r="440" ht="12.75" customHeight="1" s="110">
      <c r="E440" s="32" t="n"/>
      <c r="F440" s="33" t="n"/>
      <c r="G440" s="33" t="n"/>
    </row>
    <row r="441" ht="12.75" customHeight="1" s="110">
      <c r="E441" s="32" t="n"/>
      <c r="F441" s="33" t="n"/>
      <c r="G441" s="33" t="n"/>
    </row>
    <row r="442" ht="12.75" customHeight="1" s="110">
      <c r="E442" s="32" t="n"/>
      <c r="F442" s="33" t="n"/>
      <c r="G442" s="33" t="n"/>
    </row>
    <row r="443" ht="12.75" customHeight="1" s="110">
      <c r="E443" s="32" t="n"/>
      <c r="F443" s="33" t="n"/>
      <c r="G443" s="33" t="n"/>
    </row>
    <row r="444" ht="12.75" customHeight="1" s="110">
      <c r="E444" s="32" t="n"/>
      <c r="F444" s="33" t="n"/>
      <c r="G444" s="33" t="n"/>
    </row>
    <row r="445" ht="12.75" customHeight="1" s="110">
      <c r="E445" s="32" t="n"/>
      <c r="F445" s="33" t="n"/>
      <c r="G445" s="33" t="n"/>
    </row>
    <row r="446" ht="12.75" customHeight="1" s="110">
      <c r="E446" s="32" t="n"/>
      <c r="F446" s="33" t="n"/>
      <c r="G446" s="33" t="n"/>
    </row>
    <row r="447" ht="12.75" customHeight="1" s="110">
      <c r="E447" s="32" t="n"/>
      <c r="F447" s="33" t="n"/>
      <c r="G447" s="33" t="n"/>
    </row>
    <row r="448" ht="12.75" customHeight="1" s="110">
      <c r="E448" s="32" t="n"/>
      <c r="F448" s="33" t="n"/>
      <c r="G448" s="33" t="n"/>
    </row>
    <row r="449" ht="12.75" customHeight="1" s="110">
      <c r="E449" s="32" t="n"/>
      <c r="F449" s="33" t="n"/>
      <c r="G449" s="33" t="n"/>
    </row>
    <row r="450" ht="12.75" customHeight="1" s="110">
      <c r="E450" s="32" t="n"/>
      <c r="F450" s="33" t="n"/>
      <c r="G450" s="33" t="n"/>
    </row>
    <row r="451" ht="12.75" customHeight="1" s="110">
      <c r="E451" s="32" t="n"/>
      <c r="F451" s="33" t="n"/>
      <c r="G451" s="33" t="n"/>
    </row>
    <row r="452" ht="12.75" customHeight="1" s="110">
      <c r="E452" s="32" t="n"/>
      <c r="F452" s="33" t="n"/>
      <c r="G452" s="33" t="n"/>
    </row>
    <row r="453" ht="12.75" customHeight="1" s="110">
      <c r="E453" s="32" t="n"/>
      <c r="F453" s="33" t="n"/>
      <c r="G453" s="33" t="n"/>
    </row>
    <row r="454" ht="12.75" customHeight="1" s="110">
      <c r="E454" s="32" t="n"/>
      <c r="F454" s="33" t="n"/>
      <c r="G454" s="33" t="n"/>
    </row>
    <row r="455" ht="12.75" customHeight="1" s="110">
      <c r="E455" s="32" t="n"/>
      <c r="F455" s="33" t="n"/>
      <c r="G455" s="33" t="n"/>
    </row>
    <row r="456" ht="12.75" customHeight="1" s="110">
      <c r="E456" s="32" t="n"/>
      <c r="F456" s="33" t="n"/>
      <c r="G456" s="33" t="n"/>
    </row>
    <row r="457" ht="12.75" customHeight="1" s="110">
      <c r="E457" s="32" t="n"/>
      <c r="F457" s="33" t="n"/>
      <c r="G457" s="33" t="n"/>
    </row>
    <row r="458" ht="12.75" customHeight="1" s="110">
      <c r="E458" s="32" t="n"/>
      <c r="F458" s="33" t="n"/>
      <c r="G458" s="33" t="n"/>
    </row>
    <row r="459" ht="12.75" customHeight="1" s="110">
      <c r="E459" s="32" t="n"/>
      <c r="F459" s="33" t="n"/>
      <c r="G459" s="33" t="n"/>
    </row>
    <row r="460" ht="12.75" customHeight="1" s="110">
      <c r="E460" s="32" t="n"/>
      <c r="F460" s="33" t="n"/>
      <c r="G460" s="33" t="n"/>
    </row>
    <row r="461" ht="12.75" customHeight="1" s="110">
      <c r="E461" s="32" t="n"/>
      <c r="F461" s="33" t="n"/>
      <c r="G461" s="33" t="n"/>
    </row>
    <row r="462" ht="12.75" customHeight="1" s="110">
      <c r="E462" s="32" t="n"/>
      <c r="F462" s="33" t="n"/>
      <c r="G462" s="33" t="n"/>
    </row>
    <row r="463" ht="12.75" customHeight="1" s="110">
      <c r="E463" s="32" t="n"/>
      <c r="F463" s="33" t="n"/>
      <c r="G463" s="33" t="n"/>
    </row>
    <row r="464" ht="12.75" customHeight="1" s="110">
      <c r="E464" s="32" t="n"/>
      <c r="F464" s="33" t="n"/>
      <c r="G464" s="33" t="n"/>
    </row>
    <row r="465" ht="12.75" customHeight="1" s="110">
      <c r="E465" s="32" t="n"/>
      <c r="F465" s="33" t="n"/>
      <c r="G465" s="33" t="n"/>
    </row>
    <row r="466" ht="12.75" customHeight="1" s="110">
      <c r="E466" s="32" t="n"/>
      <c r="F466" s="33" t="n"/>
      <c r="G466" s="33" t="n"/>
    </row>
    <row r="467" ht="12.75" customHeight="1" s="110">
      <c r="E467" s="32" t="n"/>
      <c r="F467" s="33" t="n"/>
      <c r="G467" s="33" t="n"/>
    </row>
    <row r="468" ht="12.75" customHeight="1" s="110">
      <c r="E468" s="32" t="n"/>
      <c r="F468" s="33" t="n"/>
      <c r="G468" s="33" t="n"/>
    </row>
    <row r="469" ht="12.75" customHeight="1" s="110">
      <c r="E469" s="32" t="n"/>
      <c r="F469" s="33" t="n"/>
      <c r="G469" s="33" t="n"/>
    </row>
    <row r="470" ht="12.75" customHeight="1" s="110">
      <c r="E470" s="32" t="n"/>
      <c r="F470" s="33" t="n"/>
      <c r="G470" s="33" t="n"/>
    </row>
    <row r="471" ht="12.75" customHeight="1" s="110">
      <c r="E471" s="32" t="n"/>
      <c r="F471" s="33" t="n"/>
      <c r="G471" s="33" t="n"/>
    </row>
    <row r="472" ht="12.75" customHeight="1" s="110">
      <c r="E472" s="32" t="n"/>
      <c r="F472" s="33" t="n"/>
      <c r="G472" s="33" t="n"/>
    </row>
    <row r="473" ht="12.75" customHeight="1" s="110">
      <c r="E473" s="32" t="n"/>
      <c r="F473" s="33" t="n"/>
      <c r="G473" s="33" t="n"/>
    </row>
    <row r="474" ht="12.75" customHeight="1" s="110">
      <c r="E474" s="32" t="n"/>
      <c r="F474" s="33" t="n"/>
      <c r="G474" s="33" t="n"/>
    </row>
    <row r="475" ht="12.75" customHeight="1" s="110">
      <c r="E475" s="32" t="n"/>
      <c r="F475" s="33" t="n"/>
      <c r="G475" s="33" t="n"/>
    </row>
    <row r="476" ht="12.75" customHeight="1" s="110">
      <c r="E476" s="32" t="n"/>
      <c r="F476" s="33" t="n"/>
      <c r="G476" s="33" t="n"/>
    </row>
    <row r="477" ht="12.75" customHeight="1" s="110">
      <c r="E477" s="32" t="n"/>
      <c r="F477" s="33" t="n"/>
      <c r="G477" s="33" t="n"/>
    </row>
    <row r="478" ht="12.75" customHeight="1" s="110">
      <c r="E478" s="32" t="n"/>
      <c r="F478" s="33" t="n"/>
      <c r="G478" s="33" t="n"/>
    </row>
    <row r="479" ht="12.75" customHeight="1" s="110">
      <c r="E479" s="32" t="n"/>
      <c r="F479" s="33" t="n"/>
      <c r="G479" s="33" t="n"/>
    </row>
    <row r="480" ht="12.75" customHeight="1" s="110">
      <c r="E480" s="32" t="n"/>
      <c r="F480" s="33" t="n"/>
      <c r="G480" s="33" t="n"/>
    </row>
    <row r="481" ht="12.75" customHeight="1" s="110">
      <c r="E481" s="32" t="n"/>
      <c r="F481" s="33" t="n"/>
      <c r="G481" s="33" t="n"/>
    </row>
    <row r="482" ht="12.75" customHeight="1" s="110">
      <c r="E482" s="32" t="n"/>
      <c r="F482" s="33" t="n"/>
      <c r="G482" s="33" t="n"/>
    </row>
    <row r="483" ht="12.75" customHeight="1" s="110">
      <c r="E483" s="32" t="n"/>
      <c r="F483" s="33" t="n"/>
      <c r="G483" s="33" t="n"/>
    </row>
    <row r="484" ht="12.75" customHeight="1" s="110">
      <c r="E484" s="32" t="n"/>
      <c r="F484" s="33" t="n"/>
      <c r="G484" s="33" t="n"/>
    </row>
    <row r="485" ht="12.75" customHeight="1" s="110">
      <c r="E485" s="32" t="n"/>
      <c r="F485" s="33" t="n"/>
      <c r="G485" s="33" t="n"/>
    </row>
    <row r="486" ht="12.75" customHeight="1" s="110">
      <c r="E486" s="32" t="n"/>
      <c r="F486" s="33" t="n"/>
      <c r="G486" s="33" t="n"/>
    </row>
    <row r="487" ht="12.75" customHeight="1" s="110">
      <c r="E487" s="32" t="n"/>
      <c r="F487" s="33" t="n"/>
      <c r="G487" s="33" t="n"/>
    </row>
    <row r="488" ht="12.75" customHeight="1" s="110">
      <c r="E488" s="32" t="n"/>
      <c r="F488" s="33" t="n"/>
      <c r="G488" s="33" t="n"/>
    </row>
    <row r="489" ht="12.75" customHeight="1" s="110">
      <c r="E489" s="32" t="n"/>
      <c r="F489" s="33" t="n"/>
      <c r="G489" s="33" t="n"/>
    </row>
    <row r="490" ht="12.75" customHeight="1" s="110">
      <c r="E490" s="32" t="n"/>
      <c r="F490" s="33" t="n"/>
      <c r="G490" s="33" t="n"/>
    </row>
    <row r="491" ht="12.75" customHeight="1" s="110">
      <c r="E491" s="32" t="n"/>
      <c r="F491" s="33" t="n"/>
      <c r="G491" s="33" t="n"/>
    </row>
    <row r="492" ht="12.75" customHeight="1" s="110">
      <c r="E492" s="32" t="n"/>
      <c r="F492" s="33" t="n"/>
      <c r="G492" s="33" t="n"/>
    </row>
    <row r="493" ht="12.75" customHeight="1" s="110">
      <c r="E493" s="32" t="n"/>
      <c r="F493" s="33" t="n"/>
      <c r="G493" s="33" t="n"/>
    </row>
    <row r="494" ht="12.75" customHeight="1" s="110">
      <c r="E494" s="32" t="n"/>
      <c r="F494" s="33" t="n"/>
      <c r="G494" s="33" t="n"/>
    </row>
    <row r="495" ht="12.75" customHeight="1" s="110">
      <c r="E495" s="32" t="n"/>
      <c r="F495" s="33" t="n"/>
      <c r="G495" s="33" t="n"/>
    </row>
    <row r="496" ht="12.75" customHeight="1" s="110">
      <c r="E496" s="32" t="n"/>
      <c r="F496" s="33" t="n"/>
      <c r="G496" s="33" t="n"/>
    </row>
    <row r="497" ht="12.75" customHeight="1" s="110">
      <c r="E497" s="32" t="n"/>
      <c r="F497" s="33" t="n"/>
      <c r="G497" s="33" t="n"/>
    </row>
    <row r="498" ht="12.75" customHeight="1" s="110">
      <c r="E498" s="32" t="n"/>
      <c r="F498" s="33" t="n"/>
      <c r="G498" s="33" t="n"/>
    </row>
    <row r="499" ht="12.75" customHeight="1" s="110">
      <c r="E499" s="32" t="n"/>
      <c r="F499" s="33" t="n"/>
      <c r="G499" s="33" t="n"/>
    </row>
    <row r="500" ht="12.75" customHeight="1" s="110">
      <c r="E500" s="32" t="n"/>
      <c r="F500" s="33" t="n"/>
      <c r="G500" s="33" t="n"/>
    </row>
    <row r="501" ht="12.75" customHeight="1" s="110">
      <c r="E501" s="32" t="n"/>
      <c r="F501" s="33" t="n"/>
      <c r="G501" s="33" t="n"/>
    </row>
    <row r="502" ht="12.75" customHeight="1" s="110">
      <c r="E502" s="32" t="n"/>
      <c r="F502" s="33" t="n"/>
      <c r="G502" s="33" t="n"/>
    </row>
    <row r="503" ht="12.75" customHeight="1" s="110">
      <c r="E503" s="32" t="n"/>
      <c r="F503" s="33" t="n"/>
      <c r="G503" s="33" t="n"/>
    </row>
    <row r="504" ht="12.75" customHeight="1" s="110">
      <c r="E504" s="32" t="n"/>
      <c r="F504" s="33" t="n"/>
      <c r="G504" s="33" t="n"/>
    </row>
    <row r="505" ht="12.75" customHeight="1" s="110">
      <c r="E505" s="32" t="n"/>
      <c r="F505" s="33" t="n"/>
      <c r="G505" s="33" t="n"/>
    </row>
    <row r="506" ht="12.75" customHeight="1" s="110">
      <c r="E506" s="32" t="n"/>
      <c r="F506" s="33" t="n"/>
      <c r="G506" s="33" t="n"/>
    </row>
    <row r="507" ht="12.75" customHeight="1" s="110">
      <c r="E507" s="32" t="n"/>
      <c r="F507" s="33" t="n"/>
      <c r="G507" s="33" t="n"/>
    </row>
    <row r="508" ht="12.75" customHeight="1" s="110">
      <c r="E508" s="32" t="n"/>
      <c r="F508" s="33" t="n"/>
      <c r="G508" s="33" t="n"/>
    </row>
    <row r="509" ht="12.75" customHeight="1" s="110">
      <c r="E509" s="32" t="n"/>
      <c r="F509" s="33" t="n"/>
      <c r="G509" s="33" t="n"/>
    </row>
    <row r="510" ht="12.75" customHeight="1" s="110">
      <c r="E510" s="32" t="n"/>
      <c r="F510" s="33" t="n"/>
      <c r="G510" s="33" t="n"/>
    </row>
    <row r="511" ht="12.75" customHeight="1" s="110">
      <c r="E511" s="32" t="n"/>
      <c r="F511" s="33" t="n"/>
      <c r="G511" s="33" t="n"/>
    </row>
    <row r="512" ht="12.75" customHeight="1" s="110">
      <c r="E512" s="32" t="n"/>
      <c r="F512" s="33" t="n"/>
      <c r="G512" s="33" t="n"/>
    </row>
    <row r="513" ht="12.75" customHeight="1" s="110">
      <c r="E513" s="32" t="n"/>
      <c r="F513" s="33" t="n"/>
      <c r="G513" s="33" t="n"/>
    </row>
    <row r="514" ht="12.75" customHeight="1" s="110">
      <c r="E514" s="32" t="n"/>
      <c r="F514" s="33" t="n"/>
      <c r="G514" s="33" t="n"/>
    </row>
    <row r="515" ht="12.75" customHeight="1" s="110">
      <c r="E515" s="32" t="n"/>
      <c r="F515" s="33" t="n"/>
      <c r="G515" s="33" t="n"/>
    </row>
    <row r="516" ht="12.75" customHeight="1" s="110">
      <c r="E516" s="32" t="n"/>
      <c r="F516" s="33" t="n"/>
      <c r="G516" s="33" t="n"/>
    </row>
    <row r="517" ht="12.75" customHeight="1" s="110">
      <c r="E517" s="32" t="n"/>
      <c r="F517" s="33" t="n"/>
      <c r="G517" s="33" t="n"/>
    </row>
    <row r="518" ht="12.75" customHeight="1" s="110">
      <c r="E518" s="32" t="n"/>
      <c r="F518" s="33" t="n"/>
      <c r="G518" s="33" t="n"/>
    </row>
    <row r="519" ht="12.75" customHeight="1" s="110">
      <c r="E519" s="32" t="n"/>
      <c r="F519" s="33" t="n"/>
      <c r="G519" s="33" t="n"/>
    </row>
    <row r="520" ht="12.75" customHeight="1" s="110">
      <c r="E520" s="32" t="n"/>
      <c r="F520" s="33" t="n"/>
      <c r="G520" s="33" t="n"/>
    </row>
    <row r="521" ht="12.75" customHeight="1" s="110">
      <c r="E521" s="32" t="n"/>
      <c r="F521" s="33" t="n"/>
      <c r="G521" s="33" t="n"/>
    </row>
    <row r="522" ht="12.75" customHeight="1" s="110">
      <c r="E522" s="32" t="n"/>
      <c r="F522" s="33" t="n"/>
      <c r="G522" s="33" t="n"/>
    </row>
    <row r="523" ht="12.75" customHeight="1" s="110">
      <c r="E523" s="32" t="n"/>
      <c r="F523" s="33" t="n"/>
      <c r="G523" s="33" t="n"/>
    </row>
    <row r="524" ht="12.75" customHeight="1" s="110">
      <c r="E524" s="32" t="n"/>
      <c r="F524" s="33" t="n"/>
      <c r="G524" s="33" t="n"/>
    </row>
    <row r="525" ht="12.75" customHeight="1" s="110">
      <c r="E525" s="32" t="n"/>
      <c r="F525" s="33" t="n"/>
      <c r="G525" s="33" t="n"/>
    </row>
    <row r="526" ht="12.75" customHeight="1" s="110">
      <c r="E526" s="32" t="n"/>
      <c r="F526" s="33" t="n"/>
      <c r="G526" s="33" t="n"/>
    </row>
    <row r="527" ht="12.75" customHeight="1" s="110">
      <c r="E527" s="32" t="n"/>
      <c r="F527" s="33" t="n"/>
      <c r="G527" s="33" t="n"/>
    </row>
    <row r="528" ht="12.75" customHeight="1" s="110">
      <c r="E528" s="32" t="n"/>
      <c r="F528" s="33" t="n"/>
      <c r="G528" s="33" t="n"/>
    </row>
    <row r="529" ht="12.75" customHeight="1" s="110">
      <c r="E529" s="32" t="n"/>
      <c r="F529" s="33" t="n"/>
      <c r="G529" s="33" t="n"/>
    </row>
    <row r="530" ht="12.75" customHeight="1" s="110">
      <c r="E530" s="32" t="n"/>
      <c r="F530" s="33" t="n"/>
      <c r="G530" s="33" t="n"/>
    </row>
    <row r="531" ht="12.75" customHeight="1" s="110">
      <c r="E531" s="32" t="n"/>
      <c r="F531" s="33" t="n"/>
      <c r="G531" s="33" t="n"/>
    </row>
    <row r="532" ht="12.75" customHeight="1" s="110">
      <c r="E532" s="32" t="n"/>
      <c r="F532" s="33" t="n"/>
      <c r="G532" s="33" t="n"/>
    </row>
    <row r="533" ht="12.75" customHeight="1" s="110">
      <c r="E533" s="32" t="n"/>
      <c r="F533" s="33" t="n"/>
      <c r="G533" s="33" t="n"/>
    </row>
    <row r="534" ht="12.75" customHeight="1" s="110">
      <c r="E534" s="32" t="n"/>
      <c r="F534" s="33" t="n"/>
      <c r="G534" s="33" t="n"/>
    </row>
    <row r="535" ht="12.75" customHeight="1" s="110">
      <c r="E535" s="32" t="n"/>
      <c r="F535" s="33" t="n"/>
      <c r="G535" s="33" t="n"/>
    </row>
    <row r="536" ht="12.75" customHeight="1" s="110">
      <c r="E536" s="32" t="n"/>
      <c r="F536" s="33" t="n"/>
      <c r="G536" s="33" t="n"/>
    </row>
    <row r="537" ht="12.75" customHeight="1" s="110">
      <c r="E537" s="32" t="n"/>
      <c r="F537" s="33" t="n"/>
      <c r="G537" s="33" t="n"/>
    </row>
    <row r="538" ht="12.75" customHeight="1" s="110">
      <c r="E538" s="32" t="n"/>
      <c r="F538" s="33" t="n"/>
      <c r="G538" s="33" t="n"/>
    </row>
    <row r="539" ht="12.75" customHeight="1" s="110">
      <c r="E539" s="32" t="n"/>
      <c r="F539" s="33" t="n"/>
      <c r="G539" s="33" t="n"/>
    </row>
    <row r="540" ht="12.75" customHeight="1" s="110">
      <c r="E540" s="32" t="n"/>
      <c r="F540" s="33" t="n"/>
      <c r="G540" s="33" t="n"/>
    </row>
    <row r="541" ht="12.75" customHeight="1" s="110">
      <c r="E541" s="32" t="n"/>
      <c r="F541" s="33" t="n"/>
      <c r="G541" s="33" t="n"/>
    </row>
    <row r="542" ht="12.75" customHeight="1" s="110">
      <c r="E542" s="32" t="n"/>
      <c r="F542" s="33" t="n"/>
      <c r="G542" s="33" t="n"/>
    </row>
    <row r="543" ht="12.75" customHeight="1" s="110">
      <c r="E543" s="32" t="n"/>
      <c r="F543" s="33" t="n"/>
      <c r="G543" s="33" t="n"/>
    </row>
    <row r="544" ht="12.75" customHeight="1" s="110">
      <c r="E544" s="32" t="n"/>
      <c r="F544" s="33" t="n"/>
      <c r="G544" s="33" t="n"/>
    </row>
    <row r="545" ht="12.75" customHeight="1" s="110">
      <c r="E545" s="32" t="n"/>
      <c r="F545" s="33" t="n"/>
      <c r="G545" s="33" t="n"/>
    </row>
    <row r="546" ht="12.75" customHeight="1" s="110">
      <c r="E546" s="32" t="n"/>
      <c r="F546" s="33" t="n"/>
      <c r="G546" s="33" t="n"/>
    </row>
    <row r="547" ht="12.75" customHeight="1" s="110">
      <c r="E547" s="32" t="n"/>
      <c r="F547" s="33" t="n"/>
      <c r="G547" s="33" t="n"/>
    </row>
    <row r="548" ht="12.75" customHeight="1" s="110">
      <c r="E548" s="32" t="n"/>
      <c r="F548" s="33" t="n"/>
      <c r="G548" s="33" t="n"/>
    </row>
    <row r="549" ht="12.75" customHeight="1" s="110">
      <c r="E549" s="32" t="n"/>
      <c r="F549" s="33" t="n"/>
      <c r="G549" s="33" t="n"/>
    </row>
    <row r="550" ht="12.75" customHeight="1" s="110">
      <c r="E550" s="32" t="n"/>
      <c r="F550" s="33" t="n"/>
      <c r="G550" s="33" t="n"/>
    </row>
    <row r="551" ht="12.75" customHeight="1" s="110">
      <c r="E551" s="32" t="n"/>
      <c r="F551" s="33" t="n"/>
      <c r="G551" s="33" t="n"/>
    </row>
    <row r="552" ht="12.75" customHeight="1" s="110">
      <c r="E552" s="32" t="n"/>
      <c r="F552" s="33" t="n"/>
      <c r="G552" s="33" t="n"/>
    </row>
    <row r="553" ht="12.75" customHeight="1" s="110">
      <c r="E553" s="32" t="n"/>
      <c r="F553" s="33" t="n"/>
      <c r="G553" s="33" t="n"/>
    </row>
    <row r="554" ht="12.75" customHeight="1" s="110">
      <c r="E554" s="32" t="n"/>
      <c r="F554" s="33" t="n"/>
      <c r="G554" s="33" t="n"/>
    </row>
    <row r="555" ht="12.75" customHeight="1" s="110">
      <c r="E555" s="32" t="n"/>
      <c r="F555" s="33" t="n"/>
      <c r="G555" s="33" t="n"/>
    </row>
    <row r="556" ht="12.75" customHeight="1" s="110">
      <c r="E556" s="32" t="n"/>
      <c r="F556" s="33" t="n"/>
      <c r="G556" s="33" t="n"/>
    </row>
    <row r="557" ht="12.75" customHeight="1" s="110">
      <c r="E557" s="32" t="n"/>
      <c r="F557" s="33" t="n"/>
      <c r="G557" s="33" t="n"/>
    </row>
    <row r="558" ht="12.75" customHeight="1" s="110">
      <c r="E558" s="32" t="n"/>
      <c r="F558" s="33" t="n"/>
      <c r="G558" s="33" t="n"/>
    </row>
    <row r="559" ht="12.75" customHeight="1" s="110">
      <c r="E559" s="32" t="n"/>
      <c r="F559" s="33" t="n"/>
      <c r="G559" s="33" t="n"/>
    </row>
    <row r="560" ht="12.75" customHeight="1" s="110">
      <c r="E560" s="32" t="n"/>
      <c r="F560" s="33" t="n"/>
      <c r="G560" s="33" t="n"/>
    </row>
    <row r="561" ht="12.75" customHeight="1" s="110">
      <c r="E561" s="32" t="n"/>
      <c r="F561" s="33" t="n"/>
      <c r="G561" s="33" t="n"/>
    </row>
    <row r="562" ht="12.75" customHeight="1" s="110">
      <c r="E562" s="32" t="n"/>
      <c r="F562" s="33" t="n"/>
      <c r="G562" s="33" t="n"/>
    </row>
    <row r="563" ht="12.75" customHeight="1" s="110">
      <c r="E563" s="32" t="n"/>
      <c r="F563" s="33" t="n"/>
      <c r="G563" s="33" t="n"/>
    </row>
    <row r="564" ht="12.75" customHeight="1" s="110">
      <c r="E564" s="32" t="n"/>
      <c r="F564" s="33" t="n"/>
      <c r="G564" s="33" t="n"/>
    </row>
    <row r="565" ht="12.75" customHeight="1" s="110">
      <c r="E565" s="32" t="n"/>
      <c r="F565" s="33" t="n"/>
      <c r="G565" s="33" t="n"/>
    </row>
    <row r="566" ht="12.75" customHeight="1" s="110">
      <c r="E566" s="32" t="n"/>
      <c r="F566" s="33" t="n"/>
      <c r="G566" s="33" t="n"/>
    </row>
    <row r="567" ht="12.75" customHeight="1" s="110">
      <c r="E567" s="32" t="n"/>
      <c r="F567" s="33" t="n"/>
      <c r="G567" s="33" t="n"/>
    </row>
    <row r="568" ht="12.75" customHeight="1" s="110">
      <c r="E568" s="32" t="n"/>
      <c r="F568" s="33" t="n"/>
      <c r="G568" s="33" t="n"/>
    </row>
    <row r="569" ht="12.75" customHeight="1" s="110">
      <c r="E569" s="32" t="n"/>
      <c r="F569" s="33" t="n"/>
      <c r="G569" s="33" t="n"/>
    </row>
    <row r="570" ht="12.75" customHeight="1" s="110">
      <c r="E570" s="32" t="n"/>
      <c r="F570" s="33" t="n"/>
      <c r="G570" s="33" t="n"/>
    </row>
    <row r="571" ht="12.75" customHeight="1" s="110">
      <c r="E571" s="32" t="n"/>
      <c r="F571" s="33" t="n"/>
      <c r="G571" s="33" t="n"/>
    </row>
    <row r="572" ht="12.75" customHeight="1" s="110">
      <c r="E572" s="32" t="n"/>
      <c r="F572" s="33" t="n"/>
      <c r="G572" s="33" t="n"/>
    </row>
    <row r="573" ht="12.75" customHeight="1" s="110">
      <c r="E573" s="32" t="n"/>
      <c r="F573" s="33" t="n"/>
      <c r="G573" s="33" t="n"/>
    </row>
    <row r="574" ht="12.75" customHeight="1" s="110">
      <c r="E574" s="32" t="n"/>
      <c r="F574" s="33" t="n"/>
      <c r="G574" s="33" t="n"/>
    </row>
    <row r="575" ht="12.75" customHeight="1" s="110">
      <c r="E575" s="32" t="n"/>
      <c r="F575" s="33" t="n"/>
      <c r="G575" s="33" t="n"/>
    </row>
    <row r="576" ht="12.75" customHeight="1" s="110">
      <c r="E576" s="32" t="n"/>
      <c r="F576" s="33" t="n"/>
      <c r="G576" s="33" t="n"/>
    </row>
    <row r="577" ht="12.75" customHeight="1" s="110">
      <c r="E577" s="32" t="n"/>
      <c r="F577" s="33" t="n"/>
      <c r="G577" s="33" t="n"/>
    </row>
    <row r="578" ht="12.75" customHeight="1" s="110">
      <c r="E578" s="32" t="n"/>
      <c r="F578" s="33" t="n"/>
      <c r="G578" s="33" t="n"/>
    </row>
    <row r="579" ht="12.75" customHeight="1" s="110">
      <c r="E579" s="32" t="n"/>
      <c r="F579" s="33" t="n"/>
      <c r="G579" s="33" t="n"/>
    </row>
    <row r="580" ht="12.75" customHeight="1" s="110">
      <c r="E580" s="32" t="n"/>
      <c r="F580" s="33" t="n"/>
      <c r="G580" s="33" t="n"/>
    </row>
    <row r="581" ht="12.75" customHeight="1" s="110">
      <c r="E581" s="32" t="n"/>
      <c r="F581" s="33" t="n"/>
      <c r="G581" s="33" t="n"/>
    </row>
    <row r="582" ht="12.75" customHeight="1" s="110">
      <c r="E582" s="32" t="n"/>
      <c r="F582" s="33" t="n"/>
      <c r="G582" s="33" t="n"/>
    </row>
    <row r="583" ht="12.75" customHeight="1" s="110">
      <c r="E583" s="32" t="n"/>
      <c r="F583" s="33" t="n"/>
      <c r="G583" s="33" t="n"/>
    </row>
    <row r="584" ht="12.75" customHeight="1" s="110">
      <c r="E584" s="32" t="n"/>
      <c r="F584" s="33" t="n"/>
      <c r="G584" s="33" t="n"/>
    </row>
    <row r="585" ht="12.75" customHeight="1" s="110">
      <c r="E585" s="32" t="n"/>
      <c r="F585" s="33" t="n"/>
      <c r="G585" s="33" t="n"/>
    </row>
    <row r="586" ht="12.75" customHeight="1" s="110">
      <c r="E586" s="32" t="n"/>
      <c r="F586" s="33" t="n"/>
      <c r="G586" s="33" t="n"/>
    </row>
    <row r="587" ht="12.75" customHeight="1" s="110">
      <c r="E587" s="32" t="n"/>
      <c r="F587" s="33" t="n"/>
      <c r="G587" s="33" t="n"/>
    </row>
    <row r="588" ht="12.75" customHeight="1" s="110">
      <c r="E588" s="32" t="n"/>
      <c r="F588" s="33" t="n"/>
      <c r="G588" s="33" t="n"/>
    </row>
    <row r="589" ht="12.75" customHeight="1" s="110">
      <c r="E589" s="32" t="n"/>
      <c r="F589" s="33" t="n"/>
      <c r="G589" s="33" t="n"/>
    </row>
    <row r="590" ht="12.75" customHeight="1" s="110">
      <c r="E590" s="32" t="n"/>
      <c r="F590" s="33" t="n"/>
      <c r="G590" s="33" t="n"/>
    </row>
    <row r="591" ht="12.75" customHeight="1" s="110">
      <c r="E591" s="32" t="n"/>
      <c r="F591" s="33" t="n"/>
      <c r="G591" s="33" t="n"/>
    </row>
    <row r="592" ht="12.75" customHeight="1" s="110">
      <c r="E592" s="32" t="n"/>
      <c r="F592" s="33" t="n"/>
      <c r="G592" s="33" t="n"/>
    </row>
    <row r="593" ht="12.75" customHeight="1" s="110">
      <c r="E593" s="32" t="n"/>
      <c r="F593" s="33" t="n"/>
      <c r="G593" s="33" t="n"/>
    </row>
    <row r="594" ht="12.75" customHeight="1" s="110">
      <c r="E594" s="32" t="n"/>
      <c r="F594" s="33" t="n"/>
      <c r="G594" s="33" t="n"/>
    </row>
    <row r="595" ht="12.75" customHeight="1" s="110">
      <c r="E595" s="32" t="n"/>
      <c r="F595" s="33" t="n"/>
      <c r="G595" s="33" t="n"/>
    </row>
    <row r="596" ht="12.75" customHeight="1" s="110">
      <c r="E596" s="32" t="n"/>
      <c r="F596" s="33" t="n"/>
      <c r="G596" s="33" t="n"/>
    </row>
    <row r="597" ht="12.75" customHeight="1" s="110">
      <c r="E597" s="32" t="n"/>
      <c r="F597" s="33" t="n"/>
      <c r="G597" s="33" t="n"/>
    </row>
    <row r="598" ht="12.75" customHeight="1" s="110">
      <c r="E598" s="32" t="n"/>
      <c r="F598" s="33" t="n"/>
      <c r="G598" s="33" t="n"/>
    </row>
    <row r="599" ht="12.75" customHeight="1" s="110">
      <c r="E599" s="32" t="n"/>
      <c r="F599" s="33" t="n"/>
      <c r="G599" s="33" t="n"/>
    </row>
    <row r="600" ht="12.75" customHeight="1" s="110">
      <c r="E600" s="32" t="n"/>
      <c r="F600" s="33" t="n"/>
      <c r="G600" s="33" t="n"/>
    </row>
    <row r="601" ht="12.75" customHeight="1" s="110">
      <c r="E601" s="32" t="n"/>
      <c r="F601" s="33" t="n"/>
      <c r="G601" s="33" t="n"/>
    </row>
    <row r="602" ht="12.75" customHeight="1" s="110">
      <c r="E602" s="32" t="n"/>
      <c r="F602" s="33" t="n"/>
      <c r="G602" s="33" t="n"/>
    </row>
    <row r="603" ht="12.75" customHeight="1" s="110">
      <c r="E603" s="32" t="n"/>
      <c r="F603" s="33" t="n"/>
      <c r="G603" s="33" t="n"/>
    </row>
    <row r="604" ht="12.75" customHeight="1" s="110">
      <c r="E604" s="32" t="n"/>
      <c r="F604" s="33" t="n"/>
      <c r="G604" s="33" t="n"/>
    </row>
    <row r="605" ht="12.75" customHeight="1" s="110">
      <c r="E605" s="32" t="n"/>
      <c r="F605" s="33" t="n"/>
      <c r="G605" s="33" t="n"/>
    </row>
    <row r="606" ht="12.75" customHeight="1" s="110">
      <c r="E606" s="32" t="n"/>
      <c r="F606" s="33" t="n"/>
      <c r="G606" s="33" t="n"/>
    </row>
    <row r="607" ht="12.75" customHeight="1" s="110">
      <c r="E607" s="32" t="n"/>
      <c r="F607" s="33" t="n"/>
      <c r="G607" s="33" t="n"/>
    </row>
    <row r="608" ht="12.75" customHeight="1" s="110">
      <c r="E608" s="32" t="n"/>
      <c r="F608" s="33" t="n"/>
      <c r="G608" s="33" t="n"/>
    </row>
    <row r="609" ht="12.75" customHeight="1" s="110">
      <c r="E609" s="32" t="n"/>
      <c r="F609" s="33" t="n"/>
      <c r="G609" s="33" t="n"/>
    </row>
    <row r="610" ht="12.75" customHeight="1" s="110">
      <c r="E610" s="32" t="n"/>
      <c r="F610" s="33" t="n"/>
      <c r="G610" s="33" t="n"/>
    </row>
    <row r="611" ht="12.75" customHeight="1" s="110">
      <c r="E611" s="32" t="n"/>
      <c r="F611" s="33" t="n"/>
      <c r="G611" s="33" t="n"/>
    </row>
    <row r="612" ht="12.75" customHeight="1" s="110">
      <c r="E612" s="32" t="n"/>
      <c r="F612" s="33" t="n"/>
      <c r="G612" s="33" t="n"/>
    </row>
    <row r="613" ht="12.75" customHeight="1" s="110">
      <c r="E613" s="32" t="n"/>
      <c r="F613" s="33" t="n"/>
      <c r="G613" s="33" t="n"/>
    </row>
    <row r="614" ht="12.75" customHeight="1" s="110">
      <c r="E614" s="32" t="n"/>
      <c r="F614" s="33" t="n"/>
      <c r="G614" s="33" t="n"/>
    </row>
    <row r="615" ht="12.75" customHeight="1" s="110">
      <c r="E615" s="32" t="n"/>
      <c r="F615" s="33" t="n"/>
      <c r="G615" s="33" t="n"/>
    </row>
    <row r="616" ht="12.75" customHeight="1" s="110">
      <c r="E616" s="32" t="n"/>
      <c r="F616" s="33" t="n"/>
      <c r="G616" s="33" t="n"/>
    </row>
    <row r="617" ht="12.75" customHeight="1" s="110">
      <c r="E617" s="32" t="n"/>
      <c r="F617" s="33" t="n"/>
      <c r="G617" s="33" t="n"/>
    </row>
    <row r="618" ht="12.75" customHeight="1" s="110">
      <c r="E618" s="32" t="n"/>
      <c r="F618" s="33" t="n"/>
      <c r="G618" s="33" t="n"/>
    </row>
    <row r="619" ht="12.75" customHeight="1" s="110">
      <c r="E619" s="32" t="n"/>
      <c r="F619" s="33" t="n"/>
      <c r="G619" s="33" t="n"/>
    </row>
    <row r="620" ht="12.75" customHeight="1" s="110">
      <c r="E620" s="32" t="n"/>
      <c r="F620" s="33" t="n"/>
      <c r="G620" s="33" t="n"/>
    </row>
    <row r="621" ht="12.75" customHeight="1" s="110">
      <c r="E621" s="32" t="n"/>
      <c r="F621" s="33" t="n"/>
      <c r="G621" s="33" t="n"/>
    </row>
    <row r="622" ht="12.75" customHeight="1" s="110">
      <c r="E622" s="32" t="n"/>
      <c r="F622" s="33" t="n"/>
      <c r="G622" s="33" t="n"/>
    </row>
    <row r="623" ht="12.75" customHeight="1" s="110">
      <c r="E623" s="32" t="n"/>
      <c r="F623" s="33" t="n"/>
      <c r="G623" s="33" t="n"/>
    </row>
    <row r="624" ht="12.75" customHeight="1" s="110">
      <c r="E624" s="32" t="n"/>
      <c r="F624" s="33" t="n"/>
      <c r="G624" s="33" t="n"/>
    </row>
    <row r="625" ht="12.75" customHeight="1" s="110">
      <c r="E625" s="32" t="n"/>
      <c r="F625" s="33" t="n"/>
      <c r="G625" s="33" t="n"/>
    </row>
    <row r="626" ht="12.75" customHeight="1" s="110">
      <c r="E626" s="32" t="n"/>
      <c r="F626" s="33" t="n"/>
      <c r="G626" s="33" t="n"/>
    </row>
    <row r="627" ht="12.75" customHeight="1" s="110">
      <c r="E627" s="32" t="n"/>
      <c r="F627" s="33" t="n"/>
      <c r="G627" s="33" t="n"/>
    </row>
    <row r="628" ht="12.75" customHeight="1" s="110">
      <c r="E628" s="32" t="n"/>
      <c r="F628" s="33" t="n"/>
      <c r="G628" s="33" t="n"/>
    </row>
    <row r="629" ht="12.75" customHeight="1" s="110">
      <c r="E629" s="32" t="n"/>
      <c r="F629" s="33" t="n"/>
      <c r="G629" s="33" t="n"/>
    </row>
    <row r="630" ht="12.75" customHeight="1" s="110">
      <c r="E630" s="32" t="n"/>
      <c r="F630" s="33" t="n"/>
      <c r="G630" s="33" t="n"/>
    </row>
    <row r="631" ht="12.75" customHeight="1" s="110">
      <c r="E631" s="32" t="n"/>
      <c r="F631" s="33" t="n"/>
      <c r="G631" s="33" t="n"/>
    </row>
    <row r="632" ht="12.75" customHeight="1" s="110">
      <c r="E632" s="32" t="n"/>
      <c r="F632" s="33" t="n"/>
      <c r="G632" s="33" t="n"/>
    </row>
    <row r="633" ht="12.75" customHeight="1" s="110">
      <c r="E633" s="32" t="n"/>
      <c r="F633" s="33" t="n"/>
      <c r="G633" s="33" t="n"/>
    </row>
    <row r="634" ht="12.75" customHeight="1" s="110">
      <c r="E634" s="32" t="n"/>
      <c r="F634" s="33" t="n"/>
      <c r="G634" s="33" t="n"/>
    </row>
    <row r="635" ht="12.75" customHeight="1" s="110">
      <c r="E635" s="32" t="n"/>
      <c r="F635" s="33" t="n"/>
      <c r="G635" s="33" t="n"/>
    </row>
    <row r="636" ht="12.75" customHeight="1" s="110">
      <c r="E636" s="32" t="n"/>
      <c r="F636" s="33" t="n"/>
      <c r="G636" s="33" t="n"/>
    </row>
    <row r="637" ht="12.75" customHeight="1" s="110">
      <c r="E637" s="32" t="n"/>
      <c r="F637" s="33" t="n"/>
      <c r="G637" s="33" t="n"/>
    </row>
    <row r="638" ht="12.75" customHeight="1" s="110">
      <c r="E638" s="32" t="n"/>
      <c r="F638" s="33" t="n"/>
      <c r="G638" s="33" t="n"/>
    </row>
    <row r="639" ht="12.75" customHeight="1" s="110">
      <c r="E639" s="32" t="n"/>
      <c r="F639" s="33" t="n"/>
      <c r="G639" s="33" t="n"/>
    </row>
    <row r="640" ht="12.75" customHeight="1" s="110">
      <c r="E640" s="32" t="n"/>
      <c r="F640" s="33" t="n"/>
      <c r="G640" s="33" t="n"/>
    </row>
    <row r="641" ht="12.75" customHeight="1" s="110">
      <c r="E641" s="32" t="n"/>
      <c r="F641" s="33" t="n"/>
      <c r="G641" s="33" t="n"/>
    </row>
    <row r="642" ht="12.75" customHeight="1" s="110">
      <c r="E642" s="32" t="n"/>
      <c r="F642" s="33" t="n"/>
      <c r="G642" s="33" t="n"/>
    </row>
    <row r="643" ht="12.75" customHeight="1" s="110">
      <c r="E643" s="32" t="n"/>
      <c r="F643" s="33" t="n"/>
      <c r="G643" s="33" t="n"/>
    </row>
    <row r="644" ht="12.75" customHeight="1" s="110">
      <c r="E644" s="32" t="n"/>
      <c r="F644" s="33" t="n"/>
      <c r="G644" s="33" t="n"/>
    </row>
    <row r="645" ht="12.75" customHeight="1" s="110">
      <c r="E645" s="32" t="n"/>
      <c r="F645" s="33" t="n"/>
      <c r="G645" s="33" t="n"/>
    </row>
    <row r="646" ht="12.75" customHeight="1" s="110">
      <c r="E646" s="32" t="n"/>
      <c r="F646" s="33" t="n"/>
      <c r="G646" s="33" t="n"/>
    </row>
    <row r="647" ht="12.75" customHeight="1" s="110">
      <c r="E647" s="32" t="n"/>
      <c r="F647" s="33" t="n"/>
      <c r="G647" s="33" t="n"/>
    </row>
    <row r="648" ht="12.75" customHeight="1" s="110">
      <c r="E648" s="32" t="n"/>
      <c r="F648" s="33" t="n"/>
      <c r="G648" s="33" t="n"/>
    </row>
    <row r="649" ht="12.75" customHeight="1" s="110">
      <c r="E649" s="32" t="n"/>
      <c r="F649" s="33" t="n"/>
      <c r="G649" s="33" t="n"/>
    </row>
    <row r="650" ht="12.75" customHeight="1" s="110">
      <c r="E650" s="32" t="n"/>
      <c r="F650" s="33" t="n"/>
      <c r="G650" s="33" t="n"/>
    </row>
    <row r="651" ht="12.75" customHeight="1" s="110">
      <c r="E651" s="32" t="n"/>
      <c r="F651" s="33" t="n"/>
      <c r="G651" s="33" t="n"/>
    </row>
    <row r="652" ht="12.75" customHeight="1" s="110">
      <c r="E652" s="32" t="n"/>
      <c r="F652" s="33" t="n"/>
      <c r="G652" s="33" t="n"/>
    </row>
    <row r="653" ht="12.75" customHeight="1" s="110">
      <c r="E653" s="32" t="n"/>
      <c r="F653" s="33" t="n"/>
      <c r="G653" s="33" t="n"/>
    </row>
    <row r="654" ht="12.75" customHeight="1" s="110">
      <c r="E654" s="32" t="n"/>
      <c r="F654" s="33" t="n"/>
      <c r="G654" s="33" t="n"/>
    </row>
    <row r="655" ht="12.75" customHeight="1" s="110">
      <c r="E655" s="32" t="n"/>
      <c r="F655" s="33" t="n"/>
      <c r="G655" s="33" t="n"/>
    </row>
    <row r="656" ht="12.75" customHeight="1" s="110">
      <c r="E656" s="32" t="n"/>
      <c r="F656" s="33" t="n"/>
      <c r="G656" s="33" t="n"/>
    </row>
    <row r="657" ht="12.75" customHeight="1" s="110">
      <c r="E657" s="32" t="n"/>
      <c r="F657" s="33" t="n"/>
      <c r="G657" s="33" t="n"/>
    </row>
    <row r="658" ht="12.75" customHeight="1" s="110">
      <c r="E658" s="32" t="n"/>
      <c r="F658" s="33" t="n"/>
      <c r="G658" s="33" t="n"/>
    </row>
    <row r="659" ht="12.75" customHeight="1" s="110">
      <c r="E659" s="32" t="n"/>
      <c r="F659" s="33" t="n"/>
      <c r="G659" s="33" t="n"/>
    </row>
    <row r="660" ht="12.75" customHeight="1" s="110">
      <c r="E660" s="32" t="n"/>
      <c r="F660" s="33" t="n"/>
      <c r="G660" s="33" t="n"/>
    </row>
    <row r="661" ht="12.75" customHeight="1" s="110">
      <c r="E661" s="32" t="n"/>
      <c r="F661" s="33" t="n"/>
      <c r="G661" s="33" t="n"/>
    </row>
    <row r="662" ht="12.75" customHeight="1" s="110">
      <c r="E662" s="32" t="n"/>
      <c r="F662" s="33" t="n"/>
      <c r="G662" s="33" t="n"/>
    </row>
    <row r="663" ht="12.75" customHeight="1" s="110">
      <c r="E663" s="32" t="n"/>
      <c r="F663" s="33" t="n"/>
      <c r="G663" s="33" t="n"/>
    </row>
    <row r="664" ht="12.75" customHeight="1" s="110">
      <c r="E664" s="32" t="n"/>
      <c r="F664" s="33" t="n"/>
      <c r="G664" s="33" t="n"/>
    </row>
    <row r="665" ht="12.75" customHeight="1" s="110">
      <c r="E665" s="32" t="n"/>
      <c r="F665" s="33" t="n"/>
      <c r="G665" s="33" t="n"/>
    </row>
    <row r="666" ht="12.75" customHeight="1" s="110">
      <c r="E666" s="32" t="n"/>
      <c r="F666" s="33" t="n"/>
      <c r="G666" s="33" t="n"/>
    </row>
    <row r="667" ht="12.75" customHeight="1" s="110">
      <c r="E667" s="32" t="n"/>
      <c r="F667" s="33" t="n"/>
      <c r="G667" s="33" t="n"/>
    </row>
    <row r="668" ht="12.75" customHeight="1" s="110">
      <c r="E668" s="32" t="n"/>
      <c r="F668" s="33" t="n"/>
      <c r="G668" s="33" t="n"/>
    </row>
    <row r="669" ht="12.75" customHeight="1" s="110">
      <c r="E669" s="32" t="n"/>
      <c r="F669" s="33" t="n"/>
      <c r="G669" s="33" t="n"/>
    </row>
    <row r="670" ht="12.75" customHeight="1" s="110">
      <c r="E670" s="32" t="n"/>
      <c r="F670" s="33" t="n"/>
      <c r="G670" s="33" t="n"/>
    </row>
    <row r="671" ht="12.75" customHeight="1" s="110">
      <c r="E671" s="32" t="n"/>
      <c r="F671" s="33" t="n"/>
      <c r="G671" s="33" t="n"/>
    </row>
    <row r="672" ht="12.75" customHeight="1" s="110">
      <c r="E672" s="32" t="n"/>
      <c r="F672" s="33" t="n"/>
      <c r="G672" s="33" t="n"/>
    </row>
    <row r="673" ht="12.75" customHeight="1" s="110">
      <c r="E673" s="32" t="n"/>
      <c r="F673" s="33" t="n"/>
      <c r="G673" s="33" t="n"/>
    </row>
    <row r="674" ht="12.75" customHeight="1" s="110">
      <c r="E674" s="32" t="n"/>
      <c r="F674" s="33" t="n"/>
      <c r="G674" s="33" t="n"/>
    </row>
    <row r="675" ht="12.75" customHeight="1" s="110">
      <c r="E675" s="32" t="n"/>
      <c r="F675" s="33" t="n"/>
      <c r="G675" s="33" t="n"/>
    </row>
    <row r="676" ht="12.75" customHeight="1" s="110">
      <c r="E676" s="32" t="n"/>
      <c r="F676" s="33" t="n"/>
      <c r="G676" s="33" t="n"/>
    </row>
    <row r="677" ht="12.75" customHeight="1" s="110">
      <c r="E677" s="32" t="n"/>
      <c r="F677" s="33" t="n"/>
      <c r="G677" s="33" t="n"/>
    </row>
    <row r="678" ht="12.75" customHeight="1" s="110">
      <c r="E678" s="32" t="n"/>
      <c r="F678" s="33" t="n"/>
      <c r="G678" s="33" t="n"/>
    </row>
    <row r="679" ht="12.75" customHeight="1" s="110">
      <c r="E679" s="32" t="n"/>
      <c r="F679" s="33" t="n"/>
      <c r="G679" s="33" t="n"/>
    </row>
    <row r="680" ht="12.75" customHeight="1" s="110">
      <c r="E680" s="32" t="n"/>
      <c r="F680" s="33" t="n"/>
      <c r="G680" s="33" t="n"/>
    </row>
    <row r="681" ht="12.75" customHeight="1" s="110">
      <c r="E681" s="32" t="n"/>
      <c r="F681" s="33" t="n"/>
      <c r="G681" s="33" t="n"/>
    </row>
    <row r="682" ht="12.75" customHeight="1" s="110">
      <c r="E682" s="32" t="n"/>
      <c r="F682" s="33" t="n"/>
      <c r="G682" s="33" t="n"/>
    </row>
    <row r="683" ht="12.75" customHeight="1" s="110">
      <c r="E683" s="32" t="n"/>
      <c r="F683" s="33" t="n"/>
      <c r="G683" s="33" t="n"/>
    </row>
    <row r="684" ht="12.75" customHeight="1" s="110">
      <c r="E684" s="32" t="n"/>
      <c r="F684" s="33" t="n"/>
      <c r="G684" s="33" t="n"/>
    </row>
    <row r="685" ht="12.75" customHeight="1" s="110">
      <c r="E685" s="32" t="n"/>
      <c r="F685" s="33" t="n"/>
      <c r="G685" s="33" t="n"/>
    </row>
    <row r="686" ht="12.75" customHeight="1" s="110">
      <c r="E686" s="32" t="n"/>
      <c r="F686" s="33" t="n"/>
      <c r="G686" s="33" t="n"/>
    </row>
    <row r="687" ht="12.75" customHeight="1" s="110">
      <c r="E687" s="32" t="n"/>
      <c r="F687" s="33" t="n"/>
      <c r="G687" s="33" t="n"/>
    </row>
    <row r="688" ht="12.75" customHeight="1" s="110">
      <c r="E688" s="32" t="n"/>
      <c r="F688" s="33" t="n"/>
      <c r="G688" s="33" t="n"/>
    </row>
    <row r="689" ht="12.75" customHeight="1" s="110">
      <c r="E689" s="32" t="n"/>
      <c r="F689" s="33" t="n"/>
      <c r="G689" s="33" t="n"/>
    </row>
    <row r="690" ht="12.75" customHeight="1" s="110">
      <c r="E690" s="32" t="n"/>
      <c r="F690" s="33" t="n"/>
      <c r="G690" s="33" t="n"/>
    </row>
    <row r="691" ht="12.75" customHeight="1" s="110">
      <c r="E691" s="32" t="n"/>
      <c r="F691" s="33" t="n"/>
      <c r="G691" s="33" t="n"/>
    </row>
    <row r="692" ht="12.75" customHeight="1" s="110">
      <c r="E692" s="32" t="n"/>
      <c r="F692" s="33" t="n"/>
      <c r="G692" s="33" t="n"/>
    </row>
    <row r="693" ht="12.75" customHeight="1" s="110">
      <c r="E693" s="32" t="n"/>
      <c r="F693" s="33" t="n"/>
      <c r="G693" s="33" t="n"/>
    </row>
    <row r="694" ht="12.75" customHeight="1" s="110">
      <c r="E694" s="32" t="n"/>
      <c r="F694" s="33" t="n"/>
      <c r="G694" s="33" t="n"/>
    </row>
    <row r="695" ht="12.75" customHeight="1" s="110">
      <c r="E695" s="32" t="n"/>
      <c r="F695" s="33" t="n"/>
      <c r="G695" s="33" t="n"/>
    </row>
    <row r="696" ht="12.75" customHeight="1" s="110">
      <c r="E696" s="32" t="n"/>
      <c r="F696" s="33" t="n"/>
      <c r="G696" s="33" t="n"/>
    </row>
    <row r="697" ht="12.75" customHeight="1" s="110">
      <c r="E697" s="32" t="n"/>
      <c r="F697" s="33" t="n"/>
      <c r="G697" s="33" t="n"/>
    </row>
    <row r="698" ht="12.75" customHeight="1" s="110">
      <c r="E698" s="32" t="n"/>
      <c r="F698" s="33" t="n"/>
      <c r="G698" s="33" t="n"/>
    </row>
    <row r="699" ht="12.75" customHeight="1" s="110">
      <c r="E699" s="32" t="n"/>
      <c r="F699" s="33" t="n"/>
      <c r="G699" s="33" t="n"/>
    </row>
    <row r="700" ht="12.75" customHeight="1" s="110">
      <c r="E700" s="32" t="n"/>
      <c r="F700" s="33" t="n"/>
      <c r="G700" s="33" t="n"/>
    </row>
    <row r="701" ht="12.75" customHeight="1" s="110">
      <c r="E701" s="32" t="n"/>
      <c r="F701" s="33" t="n"/>
      <c r="G701" s="33" t="n"/>
    </row>
    <row r="702" ht="12.75" customHeight="1" s="110">
      <c r="E702" s="32" t="n"/>
      <c r="F702" s="33" t="n"/>
      <c r="G702" s="33" t="n"/>
    </row>
    <row r="703" ht="12.75" customHeight="1" s="110">
      <c r="E703" s="32" t="n"/>
      <c r="F703" s="33" t="n"/>
      <c r="G703" s="33" t="n"/>
    </row>
    <row r="704" ht="12.75" customHeight="1" s="110">
      <c r="E704" s="32" t="n"/>
      <c r="F704" s="33" t="n"/>
      <c r="G704" s="33" t="n"/>
    </row>
    <row r="705" ht="12.75" customHeight="1" s="110">
      <c r="E705" s="32" t="n"/>
      <c r="F705" s="33" t="n"/>
      <c r="G705" s="33" t="n"/>
    </row>
    <row r="706" ht="12.75" customHeight="1" s="110">
      <c r="E706" s="32" t="n"/>
      <c r="F706" s="33" t="n"/>
      <c r="G706" s="33" t="n"/>
    </row>
    <row r="707" ht="12.75" customHeight="1" s="110">
      <c r="E707" s="32" t="n"/>
      <c r="F707" s="33" t="n"/>
      <c r="G707" s="33" t="n"/>
    </row>
    <row r="708" ht="12.75" customHeight="1" s="110">
      <c r="E708" s="32" t="n"/>
      <c r="F708" s="33" t="n"/>
      <c r="G708" s="33" t="n"/>
    </row>
    <row r="709" ht="12.75" customHeight="1" s="110">
      <c r="E709" s="32" t="n"/>
      <c r="F709" s="33" t="n"/>
      <c r="G709" s="33" t="n"/>
    </row>
    <row r="710" ht="12.75" customHeight="1" s="110">
      <c r="E710" s="32" t="n"/>
      <c r="F710" s="33" t="n"/>
      <c r="G710" s="33" t="n"/>
    </row>
    <row r="711" ht="12.75" customHeight="1" s="110">
      <c r="E711" s="32" t="n"/>
      <c r="F711" s="33" t="n"/>
      <c r="G711" s="33" t="n"/>
    </row>
    <row r="712" ht="12.75" customHeight="1" s="110">
      <c r="E712" s="32" t="n"/>
      <c r="F712" s="33" t="n"/>
      <c r="G712" s="33" t="n"/>
    </row>
    <row r="713" ht="12.75" customHeight="1" s="110">
      <c r="E713" s="32" t="n"/>
      <c r="F713" s="33" t="n"/>
      <c r="G713" s="33" t="n"/>
    </row>
    <row r="714" ht="12.75" customHeight="1" s="110">
      <c r="E714" s="32" t="n"/>
      <c r="F714" s="33" t="n"/>
      <c r="G714" s="33" t="n"/>
    </row>
    <row r="715" ht="12.75" customHeight="1" s="110">
      <c r="E715" s="32" t="n"/>
      <c r="F715" s="33" t="n"/>
      <c r="G715" s="33" t="n"/>
    </row>
    <row r="716" ht="12.75" customHeight="1" s="110">
      <c r="E716" s="32" t="n"/>
      <c r="F716" s="33" t="n"/>
      <c r="G716" s="33" t="n"/>
    </row>
    <row r="717" ht="12.75" customHeight="1" s="110">
      <c r="E717" s="32" t="n"/>
      <c r="F717" s="33" t="n"/>
      <c r="G717" s="33" t="n"/>
    </row>
    <row r="718" ht="12.75" customHeight="1" s="110">
      <c r="E718" s="32" t="n"/>
      <c r="F718" s="33" t="n"/>
      <c r="G718" s="33" t="n"/>
    </row>
    <row r="719" ht="12.75" customHeight="1" s="110">
      <c r="E719" s="32" t="n"/>
      <c r="F719" s="33" t="n"/>
      <c r="G719" s="33" t="n"/>
    </row>
    <row r="720" ht="12.75" customHeight="1" s="110">
      <c r="E720" s="32" t="n"/>
      <c r="F720" s="33" t="n"/>
      <c r="G720" s="33" t="n"/>
    </row>
    <row r="721" ht="12.75" customHeight="1" s="110">
      <c r="E721" s="32" t="n"/>
      <c r="F721" s="33" t="n"/>
      <c r="G721" s="33" t="n"/>
    </row>
    <row r="722" ht="12.75" customHeight="1" s="110">
      <c r="E722" s="32" t="n"/>
      <c r="F722" s="33" t="n"/>
      <c r="G722" s="33" t="n"/>
    </row>
    <row r="723" ht="12.75" customHeight="1" s="110">
      <c r="E723" s="32" t="n"/>
      <c r="F723" s="33" t="n"/>
      <c r="G723" s="33" t="n"/>
    </row>
    <row r="724" ht="12.75" customHeight="1" s="110">
      <c r="E724" s="32" t="n"/>
      <c r="F724" s="33" t="n"/>
      <c r="G724" s="33" t="n"/>
    </row>
    <row r="725" ht="12.75" customHeight="1" s="110">
      <c r="E725" s="32" t="n"/>
      <c r="F725" s="33" t="n"/>
      <c r="G725" s="33" t="n"/>
    </row>
    <row r="726" ht="12.75" customHeight="1" s="110">
      <c r="E726" s="32" t="n"/>
      <c r="F726" s="33" t="n"/>
      <c r="G726" s="33" t="n"/>
    </row>
    <row r="727" ht="12.75" customHeight="1" s="110">
      <c r="E727" s="32" t="n"/>
      <c r="F727" s="33" t="n"/>
      <c r="G727" s="33" t="n"/>
    </row>
    <row r="728" ht="12.75" customHeight="1" s="110">
      <c r="E728" s="32" t="n"/>
      <c r="F728" s="33" t="n"/>
      <c r="G728" s="33" t="n"/>
    </row>
    <row r="729" ht="12.75" customHeight="1" s="110">
      <c r="E729" s="32" t="n"/>
      <c r="F729" s="33" t="n"/>
      <c r="G729" s="33" t="n"/>
    </row>
    <row r="730" ht="12.75" customHeight="1" s="110">
      <c r="E730" s="32" t="n"/>
      <c r="F730" s="33" t="n"/>
      <c r="G730" s="33" t="n"/>
    </row>
    <row r="731" ht="12.75" customHeight="1" s="110">
      <c r="E731" s="32" t="n"/>
      <c r="F731" s="33" t="n"/>
      <c r="G731" s="33" t="n"/>
    </row>
    <row r="732" ht="12.75" customHeight="1" s="110">
      <c r="E732" s="32" t="n"/>
      <c r="F732" s="33" t="n"/>
      <c r="G732" s="33" t="n"/>
    </row>
    <row r="733" ht="12.75" customHeight="1" s="110">
      <c r="E733" s="32" t="n"/>
      <c r="F733" s="33" t="n"/>
      <c r="G733" s="33" t="n"/>
    </row>
    <row r="734" ht="12.75" customHeight="1" s="110">
      <c r="E734" s="32" t="n"/>
      <c r="F734" s="33" t="n"/>
      <c r="G734" s="33" t="n"/>
    </row>
    <row r="735" ht="12.75" customHeight="1" s="110">
      <c r="E735" s="32" t="n"/>
      <c r="F735" s="33" t="n"/>
      <c r="G735" s="33" t="n"/>
    </row>
    <row r="736" ht="12.75" customHeight="1" s="110">
      <c r="E736" s="32" t="n"/>
      <c r="F736" s="33" t="n"/>
      <c r="G736" s="33" t="n"/>
    </row>
    <row r="737" ht="12.75" customHeight="1" s="110">
      <c r="E737" s="32" t="n"/>
      <c r="F737" s="33" t="n"/>
      <c r="G737" s="33" t="n"/>
    </row>
    <row r="738" ht="12.75" customHeight="1" s="110">
      <c r="E738" s="32" t="n"/>
      <c r="F738" s="33" t="n"/>
      <c r="G738" s="33" t="n"/>
    </row>
    <row r="739" ht="12.75" customHeight="1" s="110">
      <c r="E739" s="32" t="n"/>
      <c r="F739" s="33" t="n"/>
      <c r="G739" s="33" t="n"/>
    </row>
    <row r="740" ht="12.75" customHeight="1" s="110">
      <c r="E740" s="32" t="n"/>
      <c r="F740" s="33" t="n"/>
      <c r="G740" s="33" t="n"/>
    </row>
    <row r="741" ht="12.75" customHeight="1" s="110">
      <c r="E741" s="32" t="n"/>
      <c r="F741" s="33" t="n"/>
      <c r="G741" s="33" t="n"/>
    </row>
    <row r="742" ht="12.75" customHeight="1" s="110">
      <c r="E742" s="32" t="n"/>
      <c r="F742" s="33" t="n"/>
      <c r="G742" s="33" t="n"/>
    </row>
    <row r="743" ht="12.75" customHeight="1" s="110">
      <c r="E743" s="32" t="n"/>
      <c r="F743" s="33" t="n"/>
      <c r="G743" s="33" t="n"/>
    </row>
    <row r="744" ht="12.75" customHeight="1" s="110">
      <c r="E744" s="32" t="n"/>
      <c r="F744" s="33" t="n"/>
      <c r="G744" s="33" t="n"/>
    </row>
    <row r="745" ht="12.75" customHeight="1" s="110">
      <c r="E745" s="32" t="n"/>
      <c r="F745" s="33" t="n"/>
      <c r="G745" s="33" t="n"/>
    </row>
    <row r="746" ht="12.75" customHeight="1" s="110">
      <c r="E746" s="32" t="n"/>
      <c r="F746" s="33" t="n"/>
      <c r="G746" s="33" t="n"/>
    </row>
    <row r="747" ht="12.75" customHeight="1" s="110">
      <c r="E747" s="32" t="n"/>
      <c r="F747" s="33" t="n"/>
      <c r="G747" s="33" t="n"/>
    </row>
    <row r="748" ht="12.75" customHeight="1" s="110">
      <c r="E748" s="32" t="n"/>
      <c r="F748" s="33" t="n"/>
      <c r="G748" s="33" t="n"/>
    </row>
    <row r="749" ht="12.75" customHeight="1" s="110">
      <c r="E749" s="32" t="n"/>
      <c r="F749" s="33" t="n"/>
      <c r="G749" s="33" t="n"/>
    </row>
    <row r="750" ht="12.75" customHeight="1" s="110">
      <c r="E750" s="32" t="n"/>
      <c r="F750" s="33" t="n"/>
      <c r="G750" s="33" t="n"/>
    </row>
    <row r="751" ht="12.75" customHeight="1" s="110">
      <c r="E751" s="32" t="n"/>
      <c r="F751" s="33" t="n"/>
      <c r="G751" s="33" t="n"/>
    </row>
    <row r="752" ht="12.75" customHeight="1" s="110">
      <c r="E752" s="32" t="n"/>
      <c r="F752" s="33" t="n"/>
      <c r="G752" s="33" t="n"/>
    </row>
    <row r="753" ht="12.75" customHeight="1" s="110">
      <c r="E753" s="32" t="n"/>
      <c r="F753" s="33" t="n"/>
      <c r="G753" s="33" t="n"/>
    </row>
    <row r="754" ht="12.75" customHeight="1" s="110">
      <c r="E754" s="32" t="n"/>
      <c r="F754" s="33" t="n"/>
      <c r="G754" s="33" t="n"/>
    </row>
    <row r="755" ht="12.75" customHeight="1" s="110">
      <c r="E755" s="32" t="n"/>
      <c r="F755" s="33" t="n"/>
      <c r="G755" s="33" t="n"/>
    </row>
    <row r="756" ht="12.75" customHeight="1" s="110">
      <c r="E756" s="32" t="n"/>
      <c r="F756" s="33" t="n"/>
      <c r="G756" s="33" t="n"/>
    </row>
    <row r="757" ht="12.75" customHeight="1" s="110">
      <c r="E757" s="32" t="n"/>
      <c r="F757" s="33" t="n"/>
      <c r="G757" s="33" t="n"/>
    </row>
    <row r="758" ht="12.75" customHeight="1" s="110">
      <c r="E758" s="32" t="n"/>
      <c r="F758" s="33" t="n"/>
      <c r="G758" s="33" t="n"/>
    </row>
    <row r="759" ht="12.75" customHeight="1" s="110">
      <c r="E759" s="32" t="n"/>
      <c r="F759" s="33" t="n"/>
      <c r="G759" s="33" t="n"/>
    </row>
    <row r="760" ht="12.75" customHeight="1" s="110">
      <c r="E760" s="32" t="n"/>
      <c r="F760" s="33" t="n"/>
      <c r="G760" s="33" t="n"/>
    </row>
    <row r="761" ht="12.75" customHeight="1" s="110">
      <c r="E761" s="32" t="n"/>
      <c r="F761" s="33" t="n"/>
      <c r="G761" s="33" t="n"/>
    </row>
    <row r="762" ht="12.75" customHeight="1" s="110">
      <c r="E762" s="32" t="n"/>
      <c r="F762" s="33" t="n"/>
      <c r="G762" s="33" t="n"/>
    </row>
    <row r="763" ht="12.75" customHeight="1" s="110">
      <c r="E763" s="32" t="n"/>
      <c r="F763" s="33" t="n"/>
      <c r="G763" s="33" t="n"/>
    </row>
    <row r="764" ht="12.75" customHeight="1" s="110">
      <c r="E764" s="32" t="n"/>
      <c r="F764" s="33" t="n"/>
      <c r="G764" s="33" t="n"/>
    </row>
    <row r="765" ht="12.75" customHeight="1" s="110">
      <c r="E765" s="32" t="n"/>
      <c r="F765" s="33" t="n"/>
      <c r="G765" s="33" t="n"/>
    </row>
    <row r="766" ht="12.75" customHeight="1" s="110">
      <c r="E766" s="32" t="n"/>
      <c r="F766" s="33" t="n"/>
      <c r="G766" s="33" t="n"/>
    </row>
    <row r="767" ht="12.75" customHeight="1" s="110">
      <c r="E767" s="32" t="n"/>
      <c r="F767" s="33" t="n"/>
      <c r="G767" s="33" t="n"/>
    </row>
    <row r="768" ht="12.75" customHeight="1" s="110">
      <c r="E768" s="32" t="n"/>
      <c r="F768" s="33" t="n"/>
      <c r="G768" s="33" t="n"/>
    </row>
    <row r="769" ht="12.75" customHeight="1" s="110">
      <c r="E769" s="32" t="n"/>
      <c r="F769" s="33" t="n"/>
      <c r="G769" s="33" t="n"/>
    </row>
    <row r="770" ht="12.75" customHeight="1" s="110">
      <c r="E770" s="32" t="n"/>
      <c r="F770" s="33" t="n"/>
      <c r="G770" s="33" t="n"/>
    </row>
    <row r="771" ht="12.75" customHeight="1" s="110">
      <c r="E771" s="32" t="n"/>
      <c r="F771" s="33" t="n"/>
      <c r="G771" s="33" t="n"/>
    </row>
    <row r="772" ht="12.75" customHeight="1" s="110">
      <c r="E772" s="32" t="n"/>
      <c r="F772" s="33" t="n"/>
      <c r="G772" s="33" t="n"/>
    </row>
    <row r="773" ht="12.75" customHeight="1" s="110">
      <c r="E773" s="32" t="n"/>
      <c r="F773" s="33" t="n"/>
      <c r="G773" s="33" t="n"/>
    </row>
    <row r="774" ht="12.75" customHeight="1" s="110">
      <c r="E774" s="32" t="n"/>
      <c r="F774" s="33" t="n"/>
      <c r="G774" s="33" t="n"/>
    </row>
    <row r="775" ht="12.75" customHeight="1" s="110">
      <c r="E775" s="32" t="n"/>
      <c r="F775" s="33" t="n"/>
      <c r="G775" s="33" t="n"/>
    </row>
    <row r="776" ht="12.75" customHeight="1" s="110">
      <c r="E776" s="32" t="n"/>
      <c r="F776" s="33" t="n"/>
      <c r="G776" s="33" t="n"/>
    </row>
    <row r="777" ht="12.75" customHeight="1" s="110">
      <c r="E777" s="32" t="n"/>
      <c r="F777" s="33" t="n"/>
      <c r="G777" s="33" t="n"/>
    </row>
    <row r="778" ht="12.75" customHeight="1" s="110">
      <c r="E778" s="32" t="n"/>
      <c r="F778" s="33" t="n"/>
      <c r="G778" s="33" t="n"/>
    </row>
    <row r="779" ht="12.75" customHeight="1" s="110">
      <c r="E779" s="32" t="n"/>
      <c r="F779" s="33" t="n"/>
      <c r="G779" s="33" t="n"/>
    </row>
    <row r="780" ht="12.75" customHeight="1" s="110">
      <c r="E780" s="32" t="n"/>
      <c r="F780" s="33" t="n"/>
      <c r="G780" s="33" t="n"/>
    </row>
    <row r="781" ht="12.75" customHeight="1" s="110">
      <c r="E781" s="32" t="n"/>
      <c r="F781" s="33" t="n"/>
      <c r="G781" s="33" t="n"/>
    </row>
    <row r="782" ht="12.75" customHeight="1" s="110">
      <c r="E782" s="32" t="n"/>
      <c r="F782" s="33" t="n"/>
      <c r="G782" s="33" t="n"/>
    </row>
    <row r="783" ht="12.75" customHeight="1" s="110">
      <c r="E783" s="32" t="n"/>
      <c r="F783" s="33" t="n"/>
      <c r="G783" s="33" t="n"/>
    </row>
    <row r="784" ht="12.75" customHeight="1" s="110">
      <c r="E784" s="32" t="n"/>
      <c r="F784" s="33" t="n"/>
      <c r="G784" s="33" t="n"/>
    </row>
    <row r="785" ht="12.75" customHeight="1" s="110">
      <c r="E785" s="32" t="n"/>
      <c r="F785" s="33" t="n"/>
      <c r="G785" s="33" t="n"/>
    </row>
    <row r="786" ht="12.75" customHeight="1" s="110">
      <c r="E786" s="32" t="n"/>
      <c r="F786" s="33" t="n"/>
      <c r="G786" s="33" t="n"/>
    </row>
    <row r="787" ht="12.75" customHeight="1" s="110">
      <c r="E787" s="32" t="n"/>
      <c r="F787" s="33" t="n"/>
      <c r="G787" s="33" t="n"/>
    </row>
    <row r="788" ht="12.75" customHeight="1" s="110">
      <c r="E788" s="32" t="n"/>
      <c r="F788" s="33" t="n"/>
      <c r="G788" s="33" t="n"/>
    </row>
    <row r="789" ht="12.75" customHeight="1" s="110">
      <c r="E789" s="32" t="n"/>
      <c r="F789" s="33" t="n"/>
      <c r="G789" s="33" t="n"/>
    </row>
    <row r="790" ht="12.75" customHeight="1" s="110">
      <c r="E790" s="32" t="n"/>
      <c r="F790" s="33" t="n"/>
      <c r="G790" s="33" t="n"/>
    </row>
    <row r="791" ht="12.75" customHeight="1" s="110">
      <c r="E791" s="32" t="n"/>
      <c r="F791" s="33" t="n"/>
      <c r="G791" s="33" t="n"/>
    </row>
    <row r="792" ht="12.75" customHeight="1" s="110">
      <c r="E792" s="32" t="n"/>
      <c r="F792" s="33" t="n"/>
      <c r="G792" s="33" t="n"/>
    </row>
    <row r="793" ht="12.75" customHeight="1" s="110">
      <c r="E793" s="32" t="n"/>
      <c r="F793" s="33" t="n"/>
      <c r="G793" s="33" t="n"/>
    </row>
    <row r="794" ht="12.75" customHeight="1" s="110">
      <c r="E794" s="32" t="n"/>
      <c r="F794" s="33" t="n"/>
      <c r="G794" s="33" t="n"/>
    </row>
    <row r="795" ht="12.75" customHeight="1" s="110">
      <c r="E795" s="32" t="n"/>
      <c r="F795" s="33" t="n"/>
      <c r="G795" s="33" t="n"/>
    </row>
    <row r="796" ht="12.75" customHeight="1" s="110">
      <c r="E796" s="32" t="n"/>
      <c r="F796" s="33" t="n"/>
      <c r="G796" s="33" t="n"/>
    </row>
    <row r="797" ht="12.75" customHeight="1" s="110">
      <c r="E797" s="32" t="n"/>
      <c r="F797" s="33" t="n"/>
      <c r="G797" s="33" t="n"/>
    </row>
    <row r="798" ht="12.75" customHeight="1" s="110">
      <c r="E798" s="32" t="n"/>
      <c r="F798" s="33" t="n"/>
      <c r="G798" s="33" t="n"/>
    </row>
    <row r="799" ht="12.75" customHeight="1" s="110">
      <c r="E799" s="32" t="n"/>
      <c r="F799" s="33" t="n"/>
      <c r="G799" s="33" t="n"/>
    </row>
    <row r="800" ht="12.75" customHeight="1" s="110">
      <c r="E800" s="32" t="n"/>
      <c r="F800" s="33" t="n"/>
      <c r="G800" s="33" t="n"/>
    </row>
    <row r="801" ht="12.75" customHeight="1" s="110">
      <c r="E801" s="32" t="n"/>
      <c r="F801" s="33" t="n"/>
      <c r="G801" s="33" t="n"/>
    </row>
    <row r="802" ht="12.75" customHeight="1" s="110">
      <c r="E802" s="32" t="n"/>
      <c r="F802" s="33" t="n"/>
      <c r="G802" s="33" t="n"/>
    </row>
    <row r="803" ht="12.75" customHeight="1" s="110">
      <c r="E803" s="32" t="n"/>
      <c r="F803" s="33" t="n"/>
      <c r="G803" s="33" t="n"/>
    </row>
    <row r="804" ht="12.75" customHeight="1" s="110">
      <c r="E804" s="32" t="n"/>
      <c r="F804" s="33" t="n"/>
      <c r="G804" s="33" t="n"/>
    </row>
    <row r="805" ht="12.75" customHeight="1" s="110">
      <c r="E805" s="32" t="n"/>
      <c r="F805" s="33" t="n"/>
      <c r="G805" s="33" t="n"/>
    </row>
    <row r="806" ht="12.75" customHeight="1" s="110">
      <c r="E806" s="32" t="n"/>
      <c r="F806" s="33" t="n"/>
      <c r="G806" s="33" t="n"/>
    </row>
    <row r="807" ht="12.75" customHeight="1" s="110">
      <c r="E807" s="32" t="n"/>
      <c r="F807" s="33" t="n"/>
      <c r="G807" s="33" t="n"/>
    </row>
    <row r="808" ht="12.75" customHeight="1" s="110">
      <c r="E808" s="32" t="n"/>
      <c r="F808" s="33" t="n"/>
      <c r="G808" s="33" t="n"/>
    </row>
    <row r="809" ht="12.75" customHeight="1" s="110">
      <c r="E809" s="32" t="n"/>
      <c r="F809" s="33" t="n"/>
      <c r="G809" s="33" t="n"/>
    </row>
    <row r="810" ht="12.75" customHeight="1" s="110">
      <c r="E810" s="32" t="n"/>
      <c r="F810" s="33" t="n"/>
      <c r="G810" s="33" t="n"/>
    </row>
    <row r="811" ht="12.75" customHeight="1" s="110">
      <c r="E811" s="32" t="n"/>
      <c r="F811" s="33" t="n"/>
      <c r="G811" s="33" t="n"/>
    </row>
    <row r="812" ht="12.75" customHeight="1" s="110">
      <c r="E812" s="32" t="n"/>
      <c r="F812" s="33" t="n"/>
      <c r="G812" s="33" t="n"/>
    </row>
    <row r="813" ht="12.75" customHeight="1" s="110">
      <c r="E813" s="32" t="n"/>
      <c r="F813" s="33" t="n"/>
      <c r="G813" s="33" t="n"/>
    </row>
    <row r="814" ht="12.75" customHeight="1" s="110">
      <c r="E814" s="32" t="n"/>
      <c r="F814" s="33" t="n"/>
      <c r="G814" s="33" t="n"/>
    </row>
    <row r="815" ht="12.75" customHeight="1" s="110">
      <c r="E815" s="32" t="n"/>
      <c r="F815" s="33" t="n"/>
      <c r="G815" s="33" t="n"/>
    </row>
    <row r="816" ht="12.75" customHeight="1" s="110">
      <c r="E816" s="32" t="n"/>
      <c r="F816" s="33" t="n"/>
      <c r="G816" s="33" t="n"/>
    </row>
    <row r="817" ht="12.75" customHeight="1" s="110">
      <c r="E817" s="32" t="n"/>
      <c r="F817" s="33" t="n"/>
      <c r="G817" s="33" t="n"/>
    </row>
    <row r="818" ht="12.75" customHeight="1" s="110">
      <c r="E818" s="32" t="n"/>
      <c r="F818" s="33" t="n"/>
      <c r="G818" s="33" t="n"/>
    </row>
    <row r="819" ht="12.75" customHeight="1" s="110">
      <c r="E819" s="32" t="n"/>
      <c r="F819" s="33" t="n"/>
      <c r="G819" s="33" t="n"/>
    </row>
    <row r="820" ht="12.75" customHeight="1" s="110">
      <c r="E820" s="32" t="n"/>
      <c r="F820" s="33" t="n"/>
      <c r="G820" s="33" t="n"/>
    </row>
    <row r="821" ht="12.75" customHeight="1" s="110">
      <c r="E821" s="32" t="n"/>
      <c r="F821" s="33" t="n"/>
      <c r="G821" s="33" t="n"/>
    </row>
    <row r="822" ht="12.75" customHeight="1" s="110">
      <c r="E822" s="32" t="n"/>
      <c r="F822" s="33" t="n"/>
      <c r="G822" s="33" t="n"/>
    </row>
    <row r="823" ht="12.75" customHeight="1" s="110">
      <c r="E823" s="32" t="n"/>
      <c r="F823" s="33" t="n"/>
      <c r="G823" s="33" t="n"/>
    </row>
    <row r="824" ht="12.75" customHeight="1" s="110">
      <c r="E824" s="32" t="n"/>
      <c r="F824" s="33" t="n"/>
      <c r="G824" s="33" t="n"/>
    </row>
    <row r="825" ht="12.75" customHeight="1" s="110">
      <c r="E825" s="32" t="n"/>
      <c r="F825" s="33" t="n"/>
      <c r="G825" s="33" t="n"/>
    </row>
    <row r="826" ht="12.75" customHeight="1" s="110">
      <c r="E826" s="32" t="n"/>
      <c r="F826" s="33" t="n"/>
      <c r="G826" s="33" t="n"/>
    </row>
    <row r="827" ht="12.75" customHeight="1" s="110">
      <c r="E827" s="32" t="n"/>
      <c r="F827" s="33" t="n"/>
      <c r="G827" s="33" t="n"/>
    </row>
    <row r="828" ht="12.75" customHeight="1" s="110">
      <c r="E828" s="32" t="n"/>
      <c r="F828" s="33" t="n"/>
      <c r="G828" s="33" t="n"/>
    </row>
    <row r="829" ht="12.75" customHeight="1" s="110">
      <c r="E829" s="32" t="n"/>
      <c r="F829" s="33" t="n"/>
      <c r="G829" s="33" t="n"/>
    </row>
    <row r="830" ht="12.75" customHeight="1" s="110">
      <c r="E830" s="32" t="n"/>
      <c r="F830" s="33" t="n"/>
      <c r="G830" s="33" t="n"/>
    </row>
    <row r="831" ht="12.75" customHeight="1" s="110">
      <c r="E831" s="32" t="n"/>
      <c r="F831" s="33" t="n"/>
      <c r="G831" s="33" t="n"/>
    </row>
    <row r="832" ht="12.75" customHeight="1" s="110">
      <c r="E832" s="32" t="n"/>
      <c r="F832" s="33" t="n"/>
      <c r="G832" s="33" t="n"/>
    </row>
    <row r="833" ht="12.75" customHeight="1" s="110">
      <c r="E833" s="32" t="n"/>
      <c r="F833" s="33" t="n"/>
      <c r="G833" s="33" t="n"/>
    </row>
    <row r="834" ht="12.75" customHeight="1" s="110">
      <c r="E834" s="32" t="n"/>
      <c r="F834" s="33" t="n"/>
      <c r="G834" s="33" t="n"/>
    </row>
    <row r="835" ht="12.75" customHeight="1" s="110">
      <c r="E835" s="32" t="n"/>
      <c r="F835" s="33" t="n"/>
      <c r="G835" s="33" t="n"/>
    </row>
    <row r="836" ht="12.75" customHeight="1" s="110">
      <c r="E836" s="32" t="n"/>
      <c r="F836" s="33" t="n"/>
      <c r="G836" s="33" t="n"/>
    </row>
    <row r="837" ht="12.75" customHeight="1" s="110">
      <c r="E837" s="32" t="n"/>
      <c r="F837" s="33" t="n"/>
      <c r="G837" s="33" t="n"/>
    </row>
    <row r="838" ht="12.75" customHeight="1" s="110">
      <c r="E838" s="32" t="n"/>
      <c r="F838" s="33" t="n"/>
      <c r="G838" s="33" t="n"/>
    </row>
    <row r="839" ht="12.75" customHeight="1" s="110">
      <c r="E839" s="32" t="n"/>
      <c r="F839" s="33" t="n"/>
      <c r="G839" s="33" t="n"/>
    </row>
    <row r="840" ht="12.75" customHeight="1" s="110">
      <c r="E840" s="32" t="n"/>
      <c r="F840" s="33" t="n"/>
      <c r="G840" s="33" t="n"/>
    </row>
    <row r="841" ht="12.75" customHeight="1" s="110">
      <c r="E841" s="32" t="n"/>
      <c r="F841" s="33" t="n"/>
      <c r="G841" s="33" t="n"/>
    </row>
    <row r="842" ht="12.75" customHeight="1" s="110">
      <c r="E842" s="32" t="n"/>
      <c r="F842" s="33" t="n"/>
      <c r="G842" s="33" t="n"/>
    </row>
    <row r="843" ht="12.75" customHeight="1" s="110">
      <c r="E843" s="32" t="n"/>
      <c r="F843" s="33" t="n"/>
      <c r="G843" s="33" t="n"/>
    </row>
    <row r="844" ht="12.75" customHeight="1" s="110">
      <c r="E844" s="32" t="n"/>
      <c r="F844" s="33" t="n"/>
      <c r="G844" s="33" t="n"/>
    </row>
    <row r="845" ht="12.75" customHeight="1" s="110">
      <c r="E845" s="32" t="n"/>
      <c r="F845" s="33" t="n"/>
      <c r="G845" s="33" t="n"/>
    </row>
    <row r="846" ht="12.75" customHeight="1" s="110">
      <c r="E846" s="32" t="n"/>
      <c r="F846" s="33" t="n"/>
      <c r="G846" s="33" t="n"/>
    </row>
    <row r="847" ht="12.75" customHeight="1" s="110">
      <c r="E847" s="32" t="n"/>
      <c r="F847" s="33" t="n"/>
      <c r="G847" s="33" t="n"/>
    </row>
    <row r="848" ht="12.75" customHeight="1" s="110">
      <c r="E848" s="32" t="n"/>
      <c r="F848" s="33" t="n"/>
      <c r="G848" s="33" t="n"/>
    </row>
    <row r="849" ht="12.75" customHeight="1" s="110">
      <c r="E849" s="32" t="n"/>
      <c r="F849" s="33" t="n"/>
      <c r="G849" s="33" t="n"/>
    </row>
    <row r="850" ht="12.75" customHeight="1" s="110">
      <c r="E850" s="32" t="n"/>
      <c r="F850" s="33" t="n"/>
      <c r="G850" s="33" t="n"/>
    </row>
    <row r="851" ht="12.75" customHeight="1" s="110">
      <c r="E851" s="32" t="n"/>
      <c r="F851" s="33" t="n"/>
      <c r="G851" s="33" t="n"/>
    </row>
    <row r="852" ht="12.75" customHeight="1" s="110">
      <c r="E852" s="32" t="n"/>
      <c r="F852" s="33" t="n"/>
      <c r="G852" s="33" t="n"/>
    </row>
    <row r="853" ht="12.75" customHeight="1" s="110">
      <c r="E853" s="32" t="n"/>
      <c r="F853" s="33" t="n"/>
      <c r="G853" s="33" t="n"/>
    </row>
    <row r="854" ht="12.75" customHeight="1" s="110">
      <c r="E854" s="32" t="n"/>
      <c r="F854" s="33" t="n"/>
      <c r="G854" s="33" t="n"/>
    </row>
    <row r="855" ht="12.75" customHeight="1" s="110">
      <c r="E855" s="32" t="n"/>
      <c r="F855" s="33" t="n"/>
      <c r="G855" s="33" t="n"/>
    </row>
    <row r="856" ht="12.75" customHeight="1" s="110">
      <c r="E856" s="32" t="n"/>
      <c r="F856" s="33" t="n"/>
      <c r="G856" s="33" t="n"/>
    </row>
    <row r="857" ht="12.75" customHeight="1" s="110">
      <c r="E857" s="32" t="n"/>
      <c r="F857" s="33" t="n"/>
      <c r="G857" s="33" t="n"/>
    </row>
    <row r="858" ht="12.75" customHeight="1" s="110">
      <c r="E858" s="32" t="n"/>
      <c r="F858" s="33" t="n"/>
      <c r="G858" s="33" t="n"/>
    </row>
    <row r="859" ht="12.75" customHeight="1" s="110">
      <c r="E859" s="32" t="n"/>
      <c r="F859" s="33" t="n"/>
      <c r="G859" s="33" t="n"/>
    </row>
    <row r="860" ht="12.75" customHeight="1" s="110">
      <c r="E860" s="32" t="n"/>
      <c r="F860" s="33" t="n"/>
      <c r="G860" s="33" t="n"/>
    </row>
    <row r="861" ht="12.75" customHeight="1" s="110">
      <c r="E861" s="32" t="n"/>
      <c r="F861" s="33" t="n"/>
      <c r="G861" s="33" t="n"/>
    </row>
    <row r="862" ht="12.75" customHeight="1" s="110">
      <c r="E862" s="32" t="n"/>
      <c r="F862" s="33" t="n"/>
      <c r="G862" s="33" t="n"/>
    </row>
    <row r="863" ht="12.75" customHeight="1" s="110">
      <c r="E863" s="32" t="n"/>
      <c r="F863" s="33" t="n"/>
      <c r="G863" s="33" t="n"/>
    </row>
    <row r="864" ht="12.75" customHeight="1" s="110">
      <c r="E864" s="32" t="n"/>
      <c r="F864" s="33" t="n"/>
      <c r="G864" s="33" t="n"/>
    </row>
    <row r="865" ht="12.75" customHeight="1" s="110">
      <c r="E865" s="32" t="n"/>
      <c r="F865" s="33" t="n"/>
      <c r="G865" s="33" t="n"/>
    </row>
    <row r="866" ht="12.75" customHeight="1" s="110">
      <c r="E866" s="32" t="n"/>
      <c r="F866" s="33" t="n"/>
      <c r="G866" s="33" t="n"/>
    </row>
    <row r="867" ht="12.75" customHeight="1" s="110">
      <c r="E867" s="32" t="n"/>
      <c r="F867" s="33" t="n"/>
      <c r="G867" s="33" t="n"/>
    </row>
    <row r="868" ht="12.75" customHeight="1" s="110">
      <c r="E868" s="32" t="n"/>
      <c r="F868" s="33" t="n"/>
      <c r="G868" s="33" t="n"/>
    </row>
    <row r="869" ht="12.75" customHeight="1" s="110">
      <c r="E869" s="32" t="n"/>
      <c r="F869" s="33" t="n"/>
      <c r="G869" s="33" t="n"/>
    </row>
    <row r="870" ht="12.75" customHeight="1" s="110">
      <c r="E870" s="32" t="n"/>
      <c r="F870" s="33" t="n"/>
      <c r="G870" s="33" t="n"/>
    </row>
    <row r="871" ht="12.75" customHeight="1" s="110">
      <c r="E871" s="32" t="n"/>
      <c r="F871" s="33" t="n"/>
      <c r="G871" s="33" t="n"/>
    </row>
    <row r="872" ht="12.75" customHeight="1" s="110">
      <c r="E872" s="32" t="n"/>
      <c r="F872" s="33" t="n"/>
      <c r="G872" s="33" t="n"/>
    </row>
    <row r="873" ht="12.75" customHeight="1" s="110">
      <c r="E873" s="32" t="n"/>
      <c r="F873" s="33" t="n"/>
      <c r="G873" s="33" t="n"/>
    </row>
    <row r="874" ht="12.75" customHeight="1" s="110">
      <c r="E874" s="32" t="n"/>
      <c r="F874" s="33" t="n"/>
      <c r="G874" s="33" t="n"/>
    </row>
    <row r="875" ht="12.75" customHeight="1" s="110">
      <c r="E875" s="32" t="n"/>
      <c r="F875" s="33" t="n"/>
      <c r="G875" s="33" t="n"/>
    </row>
    <row r="876" ht="12.75" customHeight="1" s="110">
      <c r="E876" s="32" t="n"/>
      <c r="F876" s="33" t="n"/>
      <c r="G876" s="33" t="n"/>
    </row>
    <row r="877" ht="12.75" customHeight="1" s="110">
      <c r="E877" s="32" t="n"/>
      <c r="F877" s="33" t="n"/>
      <c r="G877" s="33" t="n"/>
    </row>
    <row r="878" ht="12.75" customHeight="1" s="110">
      <c r="E878" s="32" t="n"/>
      <c r="F878" s="33" t="n"/>
      <c r="G878" s="33" t="n"/>
    </row>
    <row r="879" ht="12.75" customHeight="1" s="110">
      <c r="E879" s="32" t="n"/>
      <c r="F879" s="33" t="n"/>
      <c r="G879" s="33" t="n"/>
    </row>
    <row r="880" ht="12.75" customHeight="1" s="110">
      <c r="E880" s="32" t="n"/>
      <c r="F880" s="33" t="n"/>
      <c r="G880" s="33" t="n"/>
    </row>
    <row r="881" ht="12.75" customHeight="1" s="110">
      <c r="E881" s="32" t="n"/>
      <c r="F881" s="33" t="n"/>
      <c r="G881" s="33" t="n"/>
    </row>
    <row r="882" ht="12.75" customHeight="1" s="110">
      <c r="E882" s="32" t="n"/>
      <c r="F882" s="33" t="n"/>
      <c r="G882" s="33" t="n"/>
    </row>
    <row r="883" ht="12.75" customHeight="1" s="110">
      <c r="E883" s="32" t="n"/>
      <c r="F883" s="33" t="n"/>
      <c r="G883" s="33" t="n"/>
    </row>
    <row r="884" ht="12.75" customHeight="1" s="110">
      <c r="E884" s="32" t="n"/>
      <c r="F884" s="33" t="n"/>
      <c r="G884" s="33" t="n"/>
    </row>
    <row r="885" ht="12.75" customHeight="1" s="110">
      <c r="E885" s="32" t="n"/>
      <c r="F885" s="33" t="n"/>
      <c r="G885" s="33" t="n"/>
    </row>
    <row r="886" ht="12.75" customHeight="1" s="110">
      <c r="E886" s="32" t="n"/>
      <c r="F886" s="33" t="n"/>
      <c r="G886" s="33" t="n"/>
    </row>
    <row r="887" ht="12.75" customHeight="1" s="110">
      <c r="E887" s="32" t="n"/>
      <c r="F887" s="33" t="n"/>
      <c r="G887" s="33" t="n"/>
    </row>
    <row r="888" ht="12.75" customHeight="1" s="110">
      <c r="E888" s="32" t="n"/>
      <c r="F888" s="33" t="n"/>
      <c r="G888" s="33" t="n"/>
    </row>
    <row r="889" ht="12.75" customHeight="1" s="110">
      <c r="E889" s="32" t="n"/>
      <c r="F889" s="33" t="n"/>
      <c r="G889" s="33" t="n"/>
    </row>
    <row r="890" ht="12.75" customHeight="1" s="110">
      <c r="E890" s="32" t="n"/>
      <c r="F890" s="33" t="n"/>
      <c r="G890" s="33" t="n"/>
    </row>
    <row r="891" ht="12.75" customHeight="1" s="110">
      <c r="E891" s="32" t="n"/>
      <c r="F891" s="33" t="n"/>
      <c r="G891" s="33" t="n"/>
    </row>
    <row r="892" ht="12.75" customHeight="1" s="110">
      <c r="E892" s="32" t="n"/>
      <c r="F892" s="33" t="n"/>
      <c r="G892" s="33" t="n"/>
    </row>
    <row r="893" ht="12.75" customHeight="1" s="110">
      <c r="E893" s="32" t="n"/>
      <c r="F893" s="33" t="n"/>
      <c r="G893" s="33" t="n"/>
    </row>
    <row r="894" ht="12.75" customHeight="1" s="110">
      <c r="E894" s="32" t="n"/>
      <c r="F894" s="33" t="n"/>
      <c r="G894" s="33" t="n"/>
    </row>
    <row r="895" ht="12.75" customHeight="1" s="110">
      <c r="E895" s="32" t="n"/>
      <c r="F895" s="33" t="n"/>
      <c r="G895" s="33" t="n"/>
    </row>
    <row r="896" ht="12.75" customHeight="1" s="110">
      <c r="E896" s="32" t="n"/>
      <c r="F896" s="33" t="n"/>
      <c r="G896" s="33" t="n"/>
    </row>
    <row r="897" ht="12.75" customHeight="1" s="110">
      <c r="E897" s="32" t="n"/>
      <c r="F897" s="33" t="n"/>
      <c r="G897" s="33" t="n"/>
    </row>
    <row r="898" ht="12.75" customHeight="1" s="110">
      <c r="E898" s="32" t="n"/>
      <c r="F898" s="33" t="n"/>
      <c r="G898" s="33" t="n"/>
    </row>
    <row r="899" ht="12.75" customHeight="1" s="110">
      <c r="E899" s="32" t="n"/>
      <c r="F899" s="33" t="n"/>
      <c r="G899" s="33" t="n"/>
    </row>
    <row r="900" ht="12.75" customHeight="1" s="110">
      <c r="E900" s="32" t="n"/>
      <c r="F900" s="33" t="n"/>
      <c r="G900" s="33" t="n"/>
    </row>
    <row r="901" ht="12.75" customHeight="1" s="110">
      <c r="E901" s="32" t="n"/>
      <c r="F901" s="33" t="n"/>
      <c r="G901" s="33" t="n"/>
    </row>
    <row r="902" ht="12.75" customHeight="1" s="110">
      <c r="E902" s="32" t="n"/>
      <c r="F902" s="33" t="n"/>
      <c r="G902" s="33" t="n"/>
    </row>
    <row r="903" ht="12.75" customHeight="1" s="110">
      <c r="E903" s="32" t="n"/>
      <c r="F903" s="33" t="n"/>
      <c r="G903" s="33" t="n"/>
    </row>
    <row r="904" ht="12.75" customHeight="1" s="110">
      <c r="E904" s="32" t="n"/>
      <c r="F904" s="33" t="n"/>
      <c r="G904" s="33" t="n"/>
    </row>
    <row r="905" ht="12.75" customHeight="1" s="110">
      <c r="E905" s="32" t="n"/>
      <c r="F905" s="33" t="n"/>
      <c r="G905" s="33" t="n"/>
    </row>
    <row r="906" ht="12.75" customHeight="1" s="110">
      <c r="E906" s="32" t="n"/>
      <c r="F906" s="33" t="n"/>
      <c r="G906" s="33" t="n"/>
    </row>
    <row r="907" ht="12.75" customHeight="1" s="110">
      <c r="E907" s="32" t="n"/>
      <c r="F907" s="33" t="n"/>
      <c r="G907" s="33" t="n"/>
    </row>
    <row r="908" ht="12.75" customHeight="1" s="110">
      <c r="E908" s="32" t="n"/>
      <c r="F908" s="33" t="n"/>
      <c r="G908" s="33" t="n"/>
    </row>
    <row r="909" ht="12.75" customHeight="1" s="110">
      <c r="E909" s="32" t="n"/>
      <c r="F909" s="33" t="n"/>
      <c r="G909" s="33" t="n"/>
    </row>
    <row r="910" ht="12.75" customHeight="1" s="110">
      <c r="E910" s="32" t="n"/>
      <c r="F910" s="33" t="n"/>
      <c r="G910" s="33" t="n"/>
    </row>
    <row r="911" ht="12.75" customHeight="1" s="110">
      <c r="E911" s="32" t="n"/>
      <c r="F911" s="33" t="n"/>
      <c r="G911" s="33" t="n"/>
    </row>
    <row r="912" ht="12.75" customHeight="1" s="110">
      <c r="E912" s="32" t="n"/>
      <c r="F912" s="33" t="n"/>
      <c r="G912" s="33" t="n"/>
    </row>
    <row r="913" ht="12.75" customHeight="1" s="110">
      <c r="E913" s="32" t="n"/>
      <c r="F913" s="33" t="n"/>
      <c r="G913" s="33" t="n"/>
    </row>
    <row r="914" ht="12.75" customHeight="1" s="110">
      <c r="E914" s="32" t="n"/>
      <c r="F914" s="33" t="n"/>
      <c r="G914" s="33" t="n"/>
    </row>
    <row r="915" ht="12.75" customHeight="1" s="110">
      <c r="E915" s="32" t="n"/>
      <c r="F915" s="33" t="n"/>
      <c r="G915" s="33" t="n"/>
    </row>
    <row r="916" ht="12.75" customHeight="1" s="110">
      <c r="E916" s="32" t="n"/>
      <c r="F916" s="33" t="n"/>
      <c r="G916" s="33" t="n"/>
    </row>
    <row r="917" ht="12.75" customHeight="1" s="110">
      <c r="E917" s="32" t="n"/>
      <c r="F917" s="33" t="n"/>
      <c r="G917" s="33" t="n"/>
    </row>
    <row r="918" ht="12.75" customHeight="1" s="110">
      <c r="E918" s="32" t="n"/>
      <c r="F918" s="33" t="n"/>
      <c r="G918" s="33" t="n"/>
    </row>
    <row r="919" ht="12.75" customHeight="1" s="110">
      <c r="E919" s="32" t="n"/>
      <c r="F919" s="33" t="n"/>
      <c r="G919" s="33" t="n"/>
    </row>
    <row r="920" ht="12.75" customHeight="1" s="110">
      <c r="E920" s="32" t="n"/>
      <c r="F920" s="33" t="n"/>
      <c r="G920" s="33" t="n"/>
    </row>
    <row r="921" ht="12.75" customHeight="1" s="110">
      <c r="E921" s="32" t="n"/>
      <c r="F921" s="33" t="n"/>
      <c r="G921" s="33" t="n"/>
    </row>
    <row r="922" ht="12.75" customHeight="1" s="110">
      <c r="E922" s="32" t="n"/>
      <c r="F922" s="33" t="n"/>
      <c r="G922" s="33" t="n"/>
    </row>
    <row r="923" ht="12.75" customHeight="1" s="110">
      <c r="E923" s="32" t="n"/>
      <c r="F923" s="33" t="n"/>
      <c r="G923" s="33" t="n"/>
    </row>
    <row r="924" ht="12.75" customHeight="1" s="110">
      <c r="E924" s="32" t="n"/>
      <c r="F924" s="33" t="n"/>
      <c r="G924" s="33" t="n"/>
    </row>
    <row r="925" ht="12.75" customHeight="1" s="110">
      <c r="E925" s="32" t="n"/>
      <c r="F925" s="33" t="n"/>
      <c r="G925" s="33" t="n"/>
    </row>
    <row r="926" ht="12.75" customHeight="1" s="110">
      <c r="E926" s="32" t="n"/>
      <c r="F926" s="33" t="n"/>
      <c r="G926" s="33" t="n"/>
    </row>
    <row r="927" ht="12.75" customHeight="1" s="110">
      <c r="E927" s="32" t="n"/>
      <c r="F927" s="33" t="n"/>
      <c r="G927" s="33" t="n"/>
    </row>
    <row r="928" ht="12.75" customHeight="1" s="110">
      <c r="E928" s="32" t="n"/>
      <c r="F928" s="33" t="n"/>
      <c r="G928" s="33" t="n"/>
    </row>
    <row r="929" ht="12.75" customHeight="1" s="110">
      <c r="E929" s="32" t="n"/>
      <c r="F929" s="33" t="n"/>
      <c r="G929" s="33" t="n"/>
    </row>
    <row r="930" ht="12.75" customHeight="1" s="110">
      <c r="E930" s="32" t="n"/>
      <c r="F930" s="33" t="n"/>
      <c r="G930" s="33" t="n"/>
    </row>
    <row r="931" ht="12.75" customHeight="1" s="110">
      <c r="E931" s="32" t="n"/>
      <c r="F931" s="33" t="n"/>
      <c r="G931" s="33" t="n"/>
    </row>
    <row r="932" ht="12.75" customHeight="1" s="110">
      <c r="E932" s="32" t="n"/>
      <c r="F932" s="33" t="n"/>
      <c r="G932" s="33" t="n"/>
    </row>
    <row r="933" ht="12.75" customHeight="1" s="110">
      <c r="E933" s="32" t="n"/>
      <c r="F933" s="33" t="n"/>
      <c r="G933" s="33" t="n"/>
    </row>
    <row r="934" ht="12.75" customHeight="1" s="110">
      <c r="E934" s="32" t="n"/>
      <c r="F934" s="33" t="n"/>
      <c r="G934" s="33" t="n"/>
    </row>
    <row r="935" ht="12.75" customHeight="1" s="110">
      <c r="E935" s="32" t="n"/>
      <c r="F935" s="33" t="n"/>
      <c r="G935" s="33" t="n"/>
    </row>
    <row r="936" ht="12.75" customHeight="1" s="110">
      <c r="E936" s="32" t="n"/>
      <c r="F936" s="33" t="n"/>
      <c r="G936" s="33" t="n"/>
    </row>
    <row r="937" ht="12.75" customHeight="1" s="110">
      <c r="E937" s="32" t="n"/>
      <c r="F937" s="33" t="n"/>
      <c r="G937" s="33" t="n"/>
    </row>
    <row r="938" ht="12.75" customHeight="1" s="110">
      <c r="E938" s="32" t="n"/>
      <c r="F938" s="33" t="n"/>
      <c r="G938" s="33" t="n"/>
    </row>
    <row r="939" ht="12.75" customHeight="1" s="110">
      <c r="E939" s="32" t="n"/>
      <c r="F939" s="33" t="n"/>
      <c r="G939" s="33" t="n"/>
    </row>
    <row r="940" ht="12.75" customHeight="1" s="110">
      <c r="E940" s="32" t="n"/>
      <c r="F940" s="33" t="n"/>
      <c r="G940" s="33" t="n"/>
    </row>
    <row r="941" ht="12.75" customHeight="1" s="110">
      <c r="E941" s="32" t="n"/>
      <c r="F941" s="33" t="n"/>
      <c r="G941" s="33" t="n"/>
    </row>
    <row r="942" ht="12.75" customHeight="1" s="110">
      <c r="E942" s="32" t="n"/>
      <c r="F942" s="33" t="n"/>
      <c r="G942" s="33" t="n"/>
    </row>
    <row r="943" ht="12.75" customHeight="1" s="110">
      <c r="E943" s="32" t="n"/>
      <c r="F943" s="33" t="n"/>
      <c r="G943" s="33" t="n"/>
    </row>
    <row r="944" ht="12.75" customHeight="1" s="110">
      <c r="E944" s="32" t="n"/>
      <c r="F944" s="33" t="n"/>
      <c r="G944" s="33" t="n"/>
    </row>
    <row r="945" ht="12.75" customHeight="1" s="110">
      <c r="E945" s="32" t="n"/>
      <c r="F945" s="33" t="n"/>
      <c r="G945" s="33" t="n"/>
    </row>
    <row r="946" ht="12.75" customHeight="1" s="110">
      <c r="E946" s="32" t="n"/>
      <c r="F946" s="33" t="n"/>
      <c r="G946" s="33" t="n"/>
    </row>
    <row r="947" ht="12.75" customHeight="1" s="110">
      <c r="E947" s="32" t="n"/>
      <c r="F947" s="33" t="n"/>
      <c r="G947" s="33" t="n"/>
    </row>
    <row r="948" ht="12.75" customHeight="1" s="110">
      <c r="E948" s="32" t="n"/>
      <c r="F948" s="33" t="n"/>
      <c r="G948" s="33" t="n"/>
    </row>
    <row r="949" ht="12.75" customHeight="1" s="110">
      <c r="E949" s="32" t="n"/>
      <c r="F949" s="33" t="n"/>
      <c r="G949" s="33" t="n"/>
    </row>
    <row r="950" ht="12.75" customHeight="1" s="110">
      <c r="E950" s="32" t="n"/>
      <c r="F950" s="33" t="n"/>
      <c r="G950" s="33" t="n"/>
    </row>
    <row r="951" ht="12.75" customHeight="1" s="110">
      <c r="E951" s="32" t="n"/>
      <c r="F951" s="33" t="n"/>
      <c r="G951" s="33" t="n"/>
    </row>
    <row r="952" ht="12.75" customHeight="1" s="110">
      <c r="E952" s="32" t="n"/>
      <c r="F952" s="33" t="n"/>
      <c r="G952" s="33" t="n"/>
    </row>
    <row r="953" ht="12.75" customHeight="1" s="110">
      <c r="E953" s="32" t="n"/>
      <c r="F953" s="33" t="n"/>
      <c r="G953" s="33" t="n"/>
    </row>
    <row r="954" ht="12.75" customHeight="1" s="110">
      <c r="E954" s="32" t="n"/>
      <c r="F954" s="33" t="n"/>
      <c r="G954" s="33" t="n"/>
    </row>
    <row r="955" ht="12.75" customHeight="1" s="110">
      <c r="E955" s="32" t="n"/>
      <c r="F955" s="33" t="n"/>
      <c r="G955" s="33" t="n"/>
    </row>
    <row r="956" ht="12.75" customHeight="1" s="110">
      <c r="E956" s="32" t="n"/>
      <c r="F956" s="33" t="n"/>
      <c r="G956" s="33" t="n"/>
    </row>
    <row r="957" ht="12.75" customHeight="1" s="110">
      <c r="E957" s="32" t="n"/>
      <c r="F957" s="33" t="n"/>
      <c r="G957" s="33" t="n"/>
    </row>
    <row r="958" ht="12.75" customHeight="1" s="110">
      <c r="E958" s="32" t="n"/>
      <c r="F958" s="33" t="n"/>
      <c r="G958" s="33" t="n"/>
    </row>
    <row r="959" ht="12.75" customHeight="1" s="110">
      <c r="E959" s="32" t="n"/>
      <c r="F959" s="33" t="n"/>
      <c r="G959" s="33" t="n"/>
    </row>
    <row r="960" ht="12.75" customHeight="1" s="110">
      <c r="E960" s="32" t="n"/>
      <c r="F960" s="33" t="n"/>
      <c r="G960" s="33" t="n"/>
    </row>
    <row r="961" ht="12.75" customHeight="1" s="110">
      <c r="E961" s="32" t="n"/>
      <c r="F961" s="33" t="n"/>
      <c r="G961" s="33" t="n"/>
    </row>
    <row r="962" ht="12.75" customHeight="1" s="110">
      <c r="E962" s="32" t="n"/>
      <c r="F962" s="33" t="n"/>
      <c r="G962" s="33" t="n"/>
    </row>
    <row r="963" ht="12.75" customHeight="1" s="110">
      <c r="E963" s="32" t="n"/>
      <c r="F963" s="33" t="n"/>
      <c r="G963" s="33" t="n"/>
    </row>
    <row r="964" ht="12.75" customHeight="1" s="110">
      <c r="E964" s="32" t="n"/>
      <c r="F964" s="33" t="n"/>
      <c r="G964" s="33" t="n"/>
    </row>
    <row r="965" ht="12.75" customHeight="1" s="110">
      <c r="E965" s="32" t="n"/>
      <c r="F965" s="33" t="n"/>
      <c r="G965" s="33" t="n"/>
    </row>
    <row r="966" ht="12.75" customHeight="1" s="110">
      <c r="E966" s="32" t="n"/>
      <c r="F966" s="33" t="n"/>
      <c r="G966" s="33" t="n"/>
    </row>
    <row r="967" ht="12.75" customHeight="1" s="110">
      <c r="E967" s="32" t="n"/>
      <c r="F967" s="33" t="n"/>
      <c r="G967" s="33" t="n"/>
    </row>
    <row r="968" ht="12.75" customHeight="1" s="110">
      <c r="E968" s="32" t="n"/>
      <c r="F968" s="33" t="n"/>
      <c r="G968" s="33" t="n"/>
    </row>
    <row r="969" ht="12.75" customHeight="1" s="110">
      <c r="E969" s="32" t="n"/>
      <c r="F969" s="33" t="n"/>
      <c r="G969" s="33" t="n"/>
    </row>
    <row r="970" ht="12.75" customHeight="1" s="110">
      <c r="E970" s="32" t="n"/>
      <c r="F970" s="33" t="n"/>
      <c r="G970" s="33" t="n"/>
    </row>
    <row r="971" ht="12.75" customHeight="1" s="110">
      <c r="E971" s="32" t="n"/>
      <c r="F971" s="33" t="n"/>
      <c r="G971" s="33" t="n"/>
    </row>
    <row r="972" ht="12.75" customHeight="1" s="110">
      <c r="E972" s="32" t="n"/>
      <c r="F972" s="33" t="n"/>
      <c r="G972" s="33" t="n"/>
    </row>
    <row r="973" ht="12.75" customHeight="1" s="110">
      <c r="E973" s="32" t="n"/>
      <c r="F973" s="33" t="n"/>
      <c r="G973" s="33" t="n"/>
    </row>
    <row r="974" ht="12.75" customHeight="1" s="110">
      <c r="E974" s="32" t="n"/>
      <c r="F974" s="33" t="n"/>
      <c r="G974" s="33" t="n"/>
    </row>
    <row r="975" ht="12.75" customHeight="1" s="110">
      <c r="E975" s="32" t="n"/>
      <c r="F975" s="33" t="n"/>
      <c r="G975" s="33" t="n"/>
    </row>
    <row r="976" ht="12.75" customHeight="1" s="110">
      <c r="E976" s="32" t="n"/>
      <c r="F976" s="33" t="n"/>
      <c r="G976" s="33" t="n"/>
    </row>
    <row r="977" ht="12.75" customHeight="1" s="110">
      <c r="E977" s="32" t="n"/>
      <c r="F977" s="33" t="n"/>
      <c r="G977" s="33" t="n"/>
    </row>
    <row r="978" ht="12.75" customHeight="1" s="110">
      <c r="E978" s="32" t="n"/>
      <c r="F978" s="33" t="n"/>
      <c r="G978" s="33" t="n"/>
    </row>
    <row r="979" ht="12.75" customHeight="1" s="110">
      <c r="E979" s="32" t="n"/>
      <c r="F979" s="33" t="n"/>
      <c r="G979" s="33" t="n"/>
    </row>
    <row r="980" ht="12.75" customHeight="1" s="110">
      <c r="E980" s="32" t="n"/>
      <c r="F980" s="33" t="n"/>
      <c r="G980" s="33" t="n"/>
    </row>
    <row r="981" ht="12.75" customHeight="1" s="110">
      <c r="E981" s="32" t="n"/>
      <c r="F981" s="33" t="n"/>
      <c r="G981" s="33" t="n"/>
    </row>
    <row r="982" ht="12.75" customHeight="1" s="110">
      <c r="E982" s="32" t="n"/>
      <c r="F982" s="33" t="n"/>
      <c r="G982" s="33" t="n"/>
    </row>
    <row r="983" ht="12.75" customHeight="1" s="110">
      <c r="E983" s="32" t="n"/>
      <c r="F983" s="33" t="n"/>
      <c r="G983" s="33" t="n"/>
    </row>
    <row r="984" ht="12.75" customHeight="1" s="110">
      <c r="E984" s="32" t="n"/>
      <c r="F984" s="33" t="n"/>
      <c r="G984" s="33" t="n"/>
    </row>
    <row r="985" ht="12.75" customHeight="1" s="110">
      <c r="E985" s="32" t="n"/>
      <c r="F985" s="33" t="n"/>
      <c r="G985" s="33" t="n"/>
    </row>
    <row r="986" ht="12.75" customHeight="1" s="110">
      <c r="E986" s="32" t="n"/>
      <c r="F986" s="33" t="n"/>
      <c r="G986" s="33" t="n"/>
    </row>
    <row r="987" ht="12.75" customHeight="1" s="110">
      <c r="E987" s="32" t="n"/>
      <c r="F987" s="33" t="n"/>
      <c r="G987" s="33" t="n"/>
    </row>
    <row r="988" ht="12.75" customHeight="1" s="110">
      <c r="E988" s="32" t="n"/>
      <c r="F988" s="33" t="n"/>
      <c r="G988" s="33" t="n"/>
    </row>
    <row r="989" ht="12.75" customHeight="1" s="110">
      <c r="E989" s="32" t="n"/>
      <c r="F989" s="33" t="n"/>
      <c r="G989" s="33" t="n"/>
    </row>
    <row r="990" ht="12.75" customHeight="1" s="110">
      <c r="E990" s="32" t="n"/>
      <c r="F990" s="33" t="n"/>
      <c r="G990" s="33" t="n"/>
    </row>
    <row r="991" ht="12.75" customHeight="1" s="110">
      <c r="E991" s="32" t="n"/>
      <c r="F991" s="33" t="n"/>
      <c r="G991" s="33" t="n"/>
    </row>
    <row r="992" ht="12.75" customHeight="1" s="110">
      <c r="E992" s="32" t="n"/>
      <c r="F992" s="33" t="n"/>
      <c r="G992" s="33" t="n"/>
    </row>
    <row r="993" ht="12.75" customHeight="1" s="110">
      <c r="E993" s="32" t="n"/>
      <c r="F993" s="33" t="n"/>
      <c r="G993" s="33" t="n"/>
    </row>
    <row r="994" ht="12.75" customHeight="1" s="110">
      <c r="E994" s="32" t="n"/>
      <c r="F994" s="33" t="n"/>
      <c r="G994" s="33" t="n"/>
    </row>
    <row r="995" ht="12.75" customHeight="1" s="110">
      <c r="E995" s="32" t="n"/>
      <c r="F995" s="33" t="n"/>
      <c r="G995" s="33" t="n"/>
    </row>
    <row r="996" ht="12.75" customHeight="1" s="110">
      <c r="E996" s="32" t="n"/>
      <c r="F996" s="33" t="n"/>
      <c r="G996" s="33" t="n"/>
    </row>
    <row r="997" ht="12.75" customHeight="1" s="110">
      <c r="E997" s="32" t="n"/>
      <c r="F997" s="33" t="n"/>
      <c r="G997" s="33" t="n"/>
    </row>
    <row r="998" ht="12.75" customHeight="1" s="110">
      <c r="E998" s="32" t="n"/>
      <c r="F998" s="33" t="n"/>
      <c r="G998" s="33" t="n"/>
    </row>
    <row r="999" ht="12.75" customHeight="1" s="110">
      <c r="E999" s="32" t="n"/>
      <c r="F999" s="33" t="n"/>
      <c r="G999" s="33" t="n"/>
    </row>
    <row r="1000" ht="12.75" customHeight="1" s="110">
      <c r="E1000" s="32" t="n"/>
      <c r="F1000" s="33" t="n"/>
      <c r="G1000" s="33" t="n"/>
    </row>
  </sheetData>
  <mergeCells count="4">
    <mergeCell ref="C66:D66"/>
    <mergeCell ref="J2:L2"/>
    <mergeCell ref="J65:K65"/>
    <mergeCell ref="D2:E2"/>
  </mergeCells>
  <pageMargins left="0.5905511811023623" right="0.1968503937007874" top="0.1968503937007874" bottom="0.1968503937007874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96"/>
  <sheetViews>
    <sheetView workbookViewId="0">
      <selection activeCell="A1" sqref="A1"/>
    </sheetView>
  </sheetViews>
  <sheetFormatPr baseColWidth="8" defaultColWidth="12.63" defaultRowHeight="15" customHeight="1"/>
  <cols>
    <col width="11.38" customWidth="1" style="110" min="1" max="4"/>
    <col width="18" customWidth="1" style="110" min="5" max="5"/>
    <col width="11.38" customWidth="1" style="110" min="6" max="8"/>
    <col width="9.130000000000001" customWidth="1" style="110" min="9" max="26"/>
  </cols>
  <sheetData>
    <row r="1" ht="12.75" customHeight="1" s="110"/>
    <row r="2" ht="12.75" customHeight="1" s="110">
      <c r="C2" s="54" t="inlineStr">
        <is>
          <t>MMPI - 2</t>
        </is>
      </c>
    </row>
    <row r="3" ht="12.75" customHeight="1" s="110">
      <c r="B3" s="4" t="inlineStr">
        <is>
          <t>Cliente:</t>
        </is>
      </c>
      <c r="C3" s="7" t="n"/>
      <c r="D3" s="7" t="n"/>
      <c r="E3" s="7" t="n"/>
      <c r="F3" s="7" t="n"/>
      <c r="G3" s="7" t="n"/>
      <c r="H3" s="7" t="n"/>
    </row>
    <row r="4" ht="12.75" customHeight="1" s="110">
      <c r="B4" s="4" t="inlineStr">
        <is>
          <t>Fecha:</t>
        </is>
      </c>
      <c r="C4" s="96" t="n"/>
      <c r="D4" s="7" t="n"/>
      <c r="E4" s="7" t="n"/>
      <c r="F4" s="7" t="n"/>
      <c r="G4" s="7" t="n"/>
      <c r="H4" s="7" t="n"/>
    </row>
    <row r="5" ht="12.75" customHeight="1" s="110">
      <c r="B5" s="4" t="inlineStr">
        <is>
          <t>Evaluador:</t>
        </is>
      </c>
      <c r="C5" s="7" t="n"/>
      <c r="D5" s="7" t="n"/>
      <c r="E5" s="7" t="n"/>
      <c r="F5" s="7" t="n"/>
      <c r="G5" s="7" t="n"/>
      <c r="H5" s="7" t="n"/>
    </row>
    <row r="6" ht="12.75" customHeight="1" s="110">
      <c r="C6" s="7" t="n"/>
      <c r="D6" s="7" t="n"/>
      <c r="E6" s="7" t="n"/>
      <c r="F6" s="7" t="n"/>
      <c r="G6" s="7" t="n"/>
      <c r="H6" s="7" t="n"/>
    </row>
    <row r="7" ht="12.75" customHeight="1" s="110">
      <c r="C7" s="54" t="inlineStr">
        <is>
          <t>INTERPRETACIÓN</t>
        </is>
      </c>
      <c r="F7" s="7" t="n"/>
      <c r="G7" s="7" t="n"/>
      <c r="H7" s="7" t="n"/>
    </row>
    <row r="8" ht="12.75" customHeight="1" s="110">
      <c r="C8" s="7" t="n"/>
      <c r="D8" s="7" t="n"/>
      <c r="E8" s="7" t="n"/>
      <c r="F8" s="7" t="n"/>
      <c r="G8" s="7" t="n"/>
      <c r="H8" s="7" t="n"/>
    </row>
    <row r="9" ht="10.5" customHeight="1" s="110">
      <c r="B9" s="97" t="inlineStr">
        <is>
          <t>Escalas de Validación:</t>
        </is>
      </c>
      <c r="C9" s="97" t="n"/>
      <c r="D9" s="78" t="n"/>
      <c r="E9" s="78" t="n"/>
      <c r="F9" s="78" t="n"/>
      <c r="G9" s="78" t="n"/>
      <c r="H9" s="78" t="n"/>
    </row>
    <row r="10" ht="10.5" customHeight="1" s="110">
      <c r="B10" s="98" t="inlineStr">
        <is>
          <t>L</t>
        </is>
      </c>
      <c r="C10" s="115">
        <f>Respuestas!I188</f>
        <v/>
      </c>
      <c r="D10" s="116" t="n"/>
      <c r="E10" s="116" t="n"/>
      <c r="F10" s="116" t="n"/>
      <c r="G10" s="116" t="n"/>
      <c r="H10" s="117" t="n"/>
    </row>
    <row r="11" ht="10.5" customHeight="1" s="110">
      <c r="B11" s="102" t="n"/>
      <c r="C11" s="118" t="n"/>
      <c r="H11" s="119" t="n"/>
    </row>
    <row r="12" ht="10.5" customHeight="1" s="110">
      <c r="B12" s="102" t="n"/>
      <c r="C12" s="120" t="n"/>
      <c r="D12" s="121" t="n"/>
      <c r="E12" s="121" t="n"/>
      <c r="F12" s="121" t="n"/>
      <c r="G12" s="121" t="n"/>
      <c r="H12" s="122" t="n"/>
    </row>
    <row r="13" ht="10.5" customHeight="1" s="110">
      <c r="B13" s="98" t="inlineStr">
        <is>
          <t>F</t>
        </is>
      </c>
      <c r="C13" s="115">
        <f>Respuestas!P189</f>
        <v/>
      </c>
      <c r="D13" s="116" t="n"/>
      <c r="E13" s="116" t="n"/>
      <c r="F13" s="116" t="n"/>
      <c r="G13" s="116" t="n"/>
      <c r="H13" s="117" t="n"/>
    </row>
    <row r="14" ht="10.5" customHeight="1" s="110">
      <c r="B14" s="102" t="n"/>
      <c r="C14" s="118" t="n"/>
      <c r="H14" s="119" t="n"/>
    </row>
    <row r="15" ht="10.5" customHeight="1" s="110">
      <c r="B15" s="102" t="n"/>
      <c r="C15" s="120" t="n"/>
      <c r="D15" s="121" t="n"/>
      <c r="E15" s="121" t="n"/>
      <c r="F15" s="121" t="n"/>
      <c r="G15" s="121" t="n"/>
      <c r="H15" s="122" t="n"/>
    </row>
    <row r="16" ht="10.5" customHeight="1" s="110">
      <c r="B16" s="98" t="inlineStr">
        <is>
          <t>K</t>
        </is>
      </c>
      <c r="C16" s="115">
        <f>Respuestas!H190</f>
        <v/>
      </c>
      <c r="D16" s="116" t="n"/>
      <c r="E16" s="116" t="n"/>
      <c r="F16" s="116" t="n"/>
      <c r="G16" s="116" t="n"/>
      <c r="H16" s="117" t="n"/>
    </row>
    <row r="17" ht="10.5" customHeight="1" s="110">
      <c r="B17" s="78" t="n"/>
      <c r="C17" s="118" t="n"/>
      <c r="H17" s="119" t="n"/>
    </row>
    <row r="18" ht="10.5" customHeight="1" s="110">
      <c r="B18" s="78" t="n"/>
      <c r="C18" s="120" t="n"/>
      <c r="D18" s="121" t="n"/>
      <c r="E18" s="121" t="n"/>
      <c r="F18" s="121" t="n"/>
      <c r="G18" s="121" t="n"/>
      <c r="H18" s="122" t="n"/>
    </row>
    <row r="19" ht="10.5" customHeight="1" s="110">
      <c r="B19" s="78" t="n"/>
      <c r="C19" s="108" t="n"/>
      <c r="D19" s="108" t="n"/>
      <c r="E19" s="108" t="n"/>
      <c r="F19" s="108" t="n"/>
      <c r="G19" s="108" t="n"/>
      <c r="H19" s="108" t="n"/>
    </row>
    <row r="20" ht="10.5" customHeight="1" s="110">
      <c r="B20" s="97" t="inlineStr">
        <is>
          <t>Valoración Clínica:</t>
        </is>
      </c>
      <c r="C20" s="109" t="n"/>
      <c r="D20" s="108" t="n"/>
      <c r="E20" s="108" t="n"/>
      <c r="F20" s="108" t="n"/>
      <c r="G20" s="108" t="n"/>
      <c r="H20" s="108" t="n"/>
    </row>
    <row r="21" ht="10.5" customHeight="1" s="110">
      <c r="B21" s="97" t="inlineStr">
        <is>
          <t>Escalas de Validación:</t>
        </is>
      </c>
      <c r="C21" s="109" t="n"/>
      <c r="D21" s="108" t="n"/>
      <c r="E21" s="108" t="n"/>
      <c r="F21" s="108" t="n"/>
      <c r="G21" s="108" t="n"/>
      <c r="H21" s="108" t="n"/>
    </row>
    <row r="22" ht="10.5" customHeight="1" s="110">
      <c r="B22" s="98" t="inlineStr">
        <is>
          <t>L</t>
        </is>
      </c>
      <c r="C22" s="115">
        <f>Respuestas!I193</f>
        <v/>
      </c>
      <c r="D22" s="116" t="n"/>
      <c r="E22" s="116" t="n"/>
      <c r="F22" s="116" t="n"/>
      <c r="G22" s="116" t="n"/>
      <c r="H22" s="117" t="n"/>
    </row>
    <row r="23" ht="10.5" customHeight="1" s="110">
      <c r="B23" s="102" t="n"/>
      <c r="C23" s="118" t="n"/>
      <c r="H23" s="119" t="n"/>
    </row>
    <row r="24" ht="10.5" customHeight="1" s="110">
      <c r="B24" s="102" t="n"/>
      <c r="C24" s="120" t="n"/>
      <c r="D24" s="121" t="n"/>
      <c r="E24" s="121" t="n"/>
      <c r="F24" s="121" t="n"/>
      <c r="G24" s="121" t="n"/>
      <c r="H24" s="122" t="n"/>
    </row>
    <row r="25" ht="10.5" customHeight="1" s="110">
      <c r="B25" s="98" t="inlineStr">
        <is>
          <t>F</t>
        </is>
      </c>
      <c r="C25" s="115">
        <f>Respuestas!N194</f>
        <v/>
      </c>
      <c r="D25" s="116" t="n"/>
      <c r="E25" s="116" t="n"/>
      <c r="F25" s="116" t="n"/>
      <c r="G25" s="116" t="n"/>
      <c r="H25" s="117" t="n"/>
    </row>
    <row r="26" ht="10.5" customHeight="1" s="110">
      <c r="B26" s="102" t="n"/>
      <c r="C26" s="118" t="n"/>
      <c r="H26" s="119" t="n"/>
    </row>
    <row r="27" ht="10.5" customHeight="1" s="110">
      <c r="B27" s="102" t="n"/>
      <c r="C27" s="120" t="n"/>
      <c r="D27" s="121" t="n"/>
      <c r="E27" s="121" t="n"/>
      <c r="F27" s="121" t="n"/>
      <c r="G27" s="121" t="n"/>
      <c r="H27" s="122" t="n"/>
    </row>
    <row r="28" ht="10.5" customHeight="1" s="110">
      <c r="B28" s="98" t="inlineStr">
        <is>
          <t>K</t>
        </is>
      </c>
      <c r="C28" s="115">
        <f>Respuestas!H195</f>
        <v/>
      </c>
      <c r="D28" s="116" t="n"/>
      <c r="E28" s="116" t="n"/>
      <c r="F28" s="116" t="n"/>
      <c r="G28" s="116" t="n"/>
      <c r="H28" s="117" t="n"/>
    </row>
    <row r="29" ht="10.5" customHeight="1" s="110">
      <c r="B29" s="78" t="n"/>
      <c r="C29" s="118" t="n"/>
      <c r="H29" s="119" t="n"/>
    </row>
    <row r="30" ht="10.5" customHeight="1" s="110">
      <c r="B30" s="78" t="n"/>
      <c r="C30" s="120" t="n"/>
      <c r="D30" s="121" t="n"/>
      <c r="E30" s="121" t="n"/>
      <c r="F30" s="121" t="n"/>
      <c r="G30" s="121" t="n"/>
      <c r="H30" s="122" t="n"/>
    </row>
    <row r="31" ht="10.5" customHeight="1" s="110">
      <c r="B31" s="78" t="n"/>
      <c r="C31" s="108" t="n"/>
      <c r="D31" s="108" t="n"/>
      <c r="E31" s="108" t="n"/>
      <c r="F31" s="108" t="n"/>
      <c r="G31" s="108" t="n"/>
      <c r="H31" s="108" t="n"/>
    </row>
    <row r="32" ht="10.5" customHeight="1" s="110">
      <c r="B32" s="97" t="inlineStr">
        <is>
          <t>Escalas Clínicas Básicas:</t>
        </is>
      </c>
      <c r="C32" s="109" t="n"/>
      <c r="D32" s="108" t="n"/>
      <c r="E32" s="108" t="n"/>
      <c r="F32" s="108" t="n"/>
      <c r="G32" s="108" t="n"/>
      <c r="H32" s="108" t="n"/>
    </row>
    <row r="33" ht="10.5" customHeight="1" s="110">
      <c r="B33" s="98" t="inlineStr">
        <is>
          <t>Hs</t>
        </is>
      </c>
      <c r="C33" s="115">
        <f>Respuestas!N197</f>
        <v/>
      </c>
      <c r="D33" s="116" t="n"/>
      <c r="E33" s="116" t="n"/>
      <c r="F33" s="116" t="n"/>
      <c r="G33" s="116" t="n"/>
      <c r="H33" s="117" t="n"/>
    </row>
    <row r="34" ht="10.5" customHeight="1" s="110">
      <c r="B34" s="102" t="n"/>
      <c r="C34" s="118" t="n"/>
      <c r="H34" s="119" t="n"/>
    </row>
    <row r="35" ht="10.5" customHeight="1" s="110">
      <c r="B35" s="102" t="n"/>
      <c r="C35" s="120" t="n"/>
      <c r="D35" s="121" t="n"/>
      <c r="E35" s="121" t="n"/>
      <c r="F35" s="121" t="n"/>
      <c r="G35" s="121" t="n"/>
      <c r="H35" s="122" t="n"/>
    </row>
    <row r="36" ht="10.5" customHeight="1" s="110">
      <c r="B36" s="98" t="inlineStr">
        <is>
          <t>D</t>
        </is>
      </c>
      <c r="C36" s="115">
        <f>Respuestas!J198</f>
        <v/>
      </c>
      <c r="D36" s="116" t="n"/>
      <c r="E36" s="116" t="n"/>
      <c r="F36" s="116" t="n"/>
      <c r="G36" s="116" t="n"/>
      <c r="H36" s="117" t="n"/>
    </row>
    <row r="37" ht="10.5" customHeight="1" s="110">
      <c r="B37" s="102" t="n"/>
      <c r="C37" s="118" t="n"/>
      <c r="H37" s="119" t="n"/>
    </row>
    <row r="38" ht="10.5" customHeight="1" s="110">
      <c r="B38" s="102" t="n"/>
      <c r="C38" s="120" t="n"/>
      <c r="D38" s="121" t="n"/>
      <c r="E38" s="121" t="n"/>
      <c r="F38" s="121" t="n"/>
      <c r="G38" s="121" t="n"/>
      <c r="H38" s="122" t="n"/>
    </row>
    <row r="39" ht="10.5" customHeight="1" s="110">
      <c r="B39" s="98" t="inlineStr">
        <is>
          <t>Hy</t>
        </is>
      </c>
      <c r="C39" s="115">
        <f>Respuestas!K199</f>
        <v/>
      </c>
      <c r="D39" s="116" t="n"/>
      <c r="E39" s="116" t="n"/>
      <c r="F39" s="116" t="n"/>
      <c r="G39" s="116" t="n"/>
      <c r="H39" s="117" t="n"/>
    </row>
    <row r="40" ht="10.5" customHeight="1" s="110">
      <c r="B40" s="102" t="n"/>
      <c r="C40" s="118" t="n"/>
      <c r="H40" s="119" t="n"/>
    </row>
    <row r="41" ht="10.5" customHeight="1" s="110">
      <c r="B41" s="102" t="n"/>
      <c r="C41" s="120" t="n"/>
      <c r="D41" s="121" t="n"/>
      <c r="E41" s="121" t="n"/>
      <c r="F41" s="121" t="n"/>
      <c r="G41" s="121" t="n"/>
      <c r="H41" s="122" t="n"/>
    </row>
    <row r="42" ht="10.5" customHeight="1" s="110">
      <c r="B42" s="98" t="inlineStr">
        <is>
          <t>Pd</t>
        </is>
      </c>
      <c r="C42" s="115">
        <f>Respuestas!K200</f>
        <v/>
      </c>
      <c r="D42" s="116" t="n"/>
      <c r="E42" s="116" t="n"/>
      <c r="F42" s="116" t="n"/>
      <c r="G42" s="116" t="n"/>
      <c r="H42" s="117" t="n"/>
    </row>
    <row r="43" ht="10.5" customHeight="1" s="110">
      <c r="B43" s="102" t="n"/>
      <c r="C43" s="118" t="n"/>
      <c r="H43" s="119" t="n"/>
    </row>
    <row r="44" ht="10.5" customHeight="1" s="110">
      <c r="B44" s="102" t="n"/>
      <c r="C44" s="120" t="n"/>
      <c r="D44" s="121" t="n"/>
      <c r="E44" s="121" t="n"/>
      <c r="F44" s="121" t="n"/>
      <c r="G44" s="121" t="n"/>
      <c r="H44" s="122" t="n"/>
    </row>
    <row r="45" ht="10.5" customHeight="1" s="110">
      <c r="B45" s="98" t="inlineStr">
        <is>
          <t>Mf</t>
        </is>
      </c>
      <c r="C45" s="115">
        <f>Respuestas!K201</f>
        <v/>
      </c>
      <c r="D45" s="116" t="n"/>
      <c r="E45" s="116" t="n"/>
      <c r="F45" s="116" t="n"/>
      <c r="G45" s="116" t="n"/>
      <c r="H45" s="117" t="n"/>
    </row>
    <row r="46" ht="10.5" customHeight="1" s="110">
      <c r="B46" s="102" t="n"/>
      <c r="C46" s="118" t="n"/>
      <c r="H46" s="119" t="n"/>
    </row>
    <row r="47" ht="10.5" customHeight="1" s="110">
      <c r="B47" s="102" t="n"/>
      <c r="C47" s="120" t="n"/>
      <c r="D47" s="121" t="n"/>
      <c r="E47" s="121" t="n"/>
      <c r="F47" s="121" t="n"/>
      <c r="G47" s="121" t="n"/>
      <c r="H47" s="122" t="n"/>
    </row>
    <row r="48" ht="10.5" customHeight="1" s="110">
      <c r="B48" s="98" t="inlineStr">
        <is>
          <t>Pa</t>
        </is>
      </c>
      <c r="C48" s="115">
        <f>Respuestas!J202</f>
        <v/>
      </c>
      <c r="D48" s="116" t="n"/>
      <c r="E48" s="116" t="n"/>
      <c r="F48" s="116" t="n"/>
      <c r="G48" s="116" t="n"/>
      <c r="H48" s="117" t="n"/>
    </row>
    <row r="49" ht="10.5" customHeight="1" s="110">
      <c r="B49" s="102" t="n"/>
      <c r="C49" s="118" t="n"/>
      <c r="H49" s="119" t="n"/>
    </row>
    <row r="50" ht="10.5" customHeight="1" s="110">
      <c r="B50" s="102" t="n"/>
      <c r="C50" s="120" t="n"/>
      <c r="D50" s="121" t="n"/>
      <c r="E50" s="121" t="n"/>
      <c r="F50" s="121" t="n"/>
      <c r="G50" s="121" t="n"/>
      <c r="H50" s="122" t="n"/>
    </row>
    <row r="51" ht="10.5" customHeight="1" s="110">
      <c r="B51" s="98" t="inlineStr">
        <is>
          <t>Pt</t>
        </is>
      </c>
      <c r="C51" s="115">
        <f>Respuestas!K203</f>
        <v/>
      </c>
      <c r="D51" s="116" t="n"/>
      <c r="E51" s="116" t="n"/>
      <c r="F51" s="116" t="n"/>
      <c r="G51" s="116" t="n"/>
      <c r="H51" s="117" t="n"/>
    </row>
    <row r="52" ht="10.5" customHeight="1" s="110">
      <c r="B52" s="102" t="n"/>
      <c r="C52" s="118" t="n"/>
      <c r="H52" s="119" t="n"/>
    </row>
    <row r="53" ht="10.5" customHeight="1" s="110">
      <c r="B53" s="102" t="n"/>
      <c r="C53" s="120" t="n"/>
      <c r="D53" s="121" t="n"/>
      <c r="E53" s="121" t="n"/>
      <c r="F53" s="121" t="n"/>
      <c r="G53" s="121" t="n"/>
      <c r="H53" s="122" t="n"/>
    </row>
    <row r="54" ht="10.5" customHeight="1" s="110">
      <c r="B54" s="98" t="inlineStr">
        <is>
          <t>Sc</t>
        </is>
      </c>
      <c r="C54" s="115">
        <f>Respuestas!J204</f>
        <v/>
      </c>
      <c r="D54" s="116" t="n"/>
      <c r="E54" s="116" t="n"/>
      <c r="F54" s="116" t="n"/>
      <c r="G54" s="116" t="n"/>
      <c r="H54" s="117" t="n"/>
    </row>
    <row r="55" ht="10.5" customHeight="1" s="110">
      <c r="B55" s="102" t="n"/>
      <c r="C55" s="118" t="n"/>
      <c r="H55" s="119" t="n"/>
    </row>
    <row r="56" ht="10.5" customHeight="1" s="110">
      <c r="B56" s="102" t="n"/>
      <c r="C56" s="120" t="n"/>
      <c r="D56" s="121" t="n"/>
      <c r="E56" s="121" t="n"/>
      <c r="F56" s="121" t="n"/>
      <c r="G56" s="121" t="n"/>
      <c r="H56" s="122" t="n"/>
    </row>
    <row r="57" ht="10.5" customHeight="1" s="110">
      <c r="B57" s="98" t="inlineStr">
        <is>
          <t>Ma</t>
        </is>
      </c>
      <c r="C57" s="115">
        <f>Respuestas!K205</f>
        <v/>
      </c>
      <c r="D57" s="116" t="n"/>
      <c r="E57" s="116" t="n"/>
      <c r="F57" s="116" t="n"/>
      <c r="G57" s="116" t="n"/>
      <c r="H57" s="117" t="n"/>
    </row>
    <row r="58" ht="10.5" customHeight="1" s="110">
      <c r="B58" s="102" t="n"/>
      <c r="C58" s="118" t="n"/>
      <c r="H58" s="119" t="n"/>
    </row>
    <row r="59" ht="10.5" customHeight="1" s="110">
      <c r="B59" s="102" t="n"/>
      <c r="C59" s="120" t="n"/>
      <c r="D59" s="121" t="n"/>
      <c r="E59" s="121" t="n"/>
      <c r="F59" s="121" t="n"/>
      <c r="G59" s="121" t="n"/>
      <c r="H59" s="122" t="n"/>
    </row>
    <row r="60" ht="10.5" customHeight="1" s="110">
      <c r="B60" s="98" t="inlineStr">
        <is>
          <t>Si</t>
        </is>
      </c>
      <c r="C60" s="115">
        <f>Respuestas!K206</f>
        <v/>
      </c>
      <c r="D60" s="116" t="n"/>
      <c r="E60" s="116" t="n"/>
      <c r="F60" s="116" t="n"/>
      <c r="G60" s="116" t="n"/>
      <c r="H60" s="117" t="n"/>
    </row>
    <row r="61" ht="10.5" customHeight="1" s="110">
      <c r="B61" s="78" t="n"/>
      <c r="C61" s="118" t="n"/>
      <c r="H61" s="119" t="n"/>
    </row>
    <row r="62" ht="10.5" customHeight="1" s="110">
      <c r="B62" s="78" t="n"/>
      <c r="C62" s="120" t="n"/>
      <c r="D62" s="121" t="n"/>
      <c r="E62" s="121" t="n"/>
      <c r="F62" s="121" t="n"/>
      <c r="G62" s="121" t="n"/>
      <c r="H62" s="122" t="n"/>
    </row>
    <row r="63" ht="12.75" customHeight="1" s="110">
      <c r="C63" s="71" t="inlineStr">
        <is>
          <t>JIRS</t>
        </is>
      </c>
      <c r="D63" s="7" t="n"/>
      <c r="E63" s="96" t="n"/>
      <c r="F63" s="7" t="n"/>
      <c r="G63" s="7" t="n"/>
      <c r="H63" s="7" t="n"/>
    </row>
    <row r="64" ht="12.75" customHeight="1" s="110">
      <c r="C64" s="7" t="n"/>
      <c r="D64" s="7" t="n"/>
      <c r="E64" s="7" t="n"/>
      <c r="F64" s="7" t="n"/>
      <c r="G64" s="7" t="n"/>
      <c r="H64" s="7" t="n"/>
    </row>
    <row r="65" ht="12.75" customHeight="1" s="110">
      <c r="C65" s="7" t="n"/>
      <c r="D65" s="7" t="n"/>
      <c r="E65" s="7" t="n"/>
      <c r="F65" s="7" t="n"/>
      <c r="G65" s="7" t="n"/>
      <c r="H65" s="7" t="n"/>
    </row>
    <row r="66" ht="12.75" customHeight="1" s="110">
      <c r="C66" s="7" t="n"/>
      <c r="D66" s="7" t="n"/>
      <c r="E66" s="7" t="n"/>
      <c r="F66" s="7" t="n"/>
      <c r="G66" s="7" t="n"/>
      <c r="H66" s="7" t="n"/>
    </row>
    <row r="67" ht="12.75" customHeight="1" s="110">
      <c r="C67" s="7" t="n"/>
      <c r="D67" s="73" t="inlineStr">
        <is>
          <t>Fdo.</t>
        </is>
      </c>
      <c r="E67" s="7" t="n"/>
      <c r="F67" s="7" t="n"/>
      <c r="G67" s="7" t="n"/>
      <c r="H67" s="7" t="n"/>
    </row>
    <row r="68" ht="12.75" customHeight="1" s="110"/>
    <row r="69" ht="12.75" customHeight="1" s="110"/>
    <row r="70" ht="12.75" customHeight="1" s="110"/>
    <row r="71" ht="12.75" customHeight="1" s="110"/>
    <row r="72" ht="12.75" customHeight="1" s="110"/>
    <row r="73" ht="12.75" customHeight="1" s="110"/>
    <row r="74" ht="12.75" customHeight="1" s="110"/>
    <row r="75" ht="12.75" customHeight="1" s="110"/>
    <row r="76" ht="12.75" customHeight="1" s="110"/>
    <row r="77" ht="12.75" customHeight="1" s="110"/>
    <row r="78" ht="12.75" customHeight="1" s="110">
      <c r="B78" s="94" t="n"/>
      <c r="C78" s="94" t="n"/>
      <c r="D78" s="94" t="n"/>
      <c r="E78" s="94" t="n"/>
      <c r="F78" s="94" t="n"/>
    </row>
    <row r="79" ht="12.75" customHeight="1" s="110">
      <c r="B79" s="94" t="n"/>
      <c r="C79" s="94" t="n"/>
      <c r="D79" s="94" t="n"/>
      <c r="E79" s="94" t="n"/>
      <c r="F79" s="94" t="n"/>
    </row>
    <row r="80" ht="12.75" customHeight="1" s="110">
      <c r="B80" s="94" t="n"/>
      <c r="C80" s="94" t="n"/>
      <c r="D80" s="94" t="n"/>
      <c r="E80" s="94" t="n"/>
      <c r="F80" s="94" t="n"/>
    </row>
    <row r="81" ht="12.75" customHeight="1" s="110">
      <c r="B81" s="94" t="n"/>
      <c r="C81" s="94" t="n"/>
      <c r="D81" s="94" t="n"/>
      <c r="E81" s="94" t="n"/>
      <c r="F81" s="94" t="n"/>
    </row>
    <row r="82" ht="12.75" customHeight="1" s="110">
      <c r="B82" s="94" t="n"/>
      <c r="C82" s="94" t="n"/>
      <c r="D82" s="94" t="n"/>
      <c r="E82" s="94" t="n"/>
      <c r="F82" s="94" t="n"/>
    </row>
    <row r="83" ht="12.75" customHeight="1" s="110">
      <c r="B83" s="94" t="n"/>
      <c r="C83" s="94" t="n"/>
      <c r="D83" s="94" t="n"/>
      <c r="E83" s="94" t="n"/>
      <c r="F83" s="94" t="n"/>
    </row>
    <row r="84" ht="12.75" customHeight="1" s="110">
      <c r="B84" s="94" t="n"/>
      <c r="C84" s="94" t="n"/>
      <c r="D84" s="94" t="n"/>
      <c r="E84" s="94" t="n"/>
      <c r="F84" s="94" t="n"/>
    </row>
    <row r="85" ht="12.75" customHeight="1" s="110">
      <c r="B85" s="94" t="n"/>
      <c r="C85" s="94" t="n"/>
      <c r="D85" s="94" t="n"/>
      <c r="E85" s="94" t="n"/>
      <c r="F85" s="94" t="n"/>
    </row>
    <row r="86" ht="12.75" customHeight="1" s="110">
      <c r="B86" s="94" t="n"/>
      <c r="C86" s="94" t="n"/>
      <c r="D86" s="94" t="n"/>
      <c r="E86" s="94" t="n"/>
      <c r="F86" s="94" t="n"/>
    </row>
    <row r="87" ht="12.75" customHeight="1" s="110">
      <c r="B87" s="94" t="n"/>
      <c r="C87" s="94" t="n"/>
      <c r="D87" s="94" t="n"/>
      <c r="E87" s="94" t="n"/>
      <c r="F87" s="94" t="n"/>
    </row>
    <row r="88" ht="12.75" customHeight="1" s="110">
      <c r="B88" s="94" t="n"/>
      <c r="C88" s="94" t="n"/>
      <c r="D88" s="94" t="n"/>
      <c r="E88" s="94" t="n"/>
      <c r="F88" s="94" t="n"/>
    </row>
    <row r="89" ht="12.75" customHeight="1" s="110">
      <c r="B89" s="94" t="n"/>
      <c r="C89" s="94" t="n"/>
      <c r="D89" s="94" t="n"/>
      <c r="E89" s="94" t="n"/>
      <c r="F89" s="94" t="n"/>
    </row>
    <row r="90" ht="12.75" customHeight="1" s="110">
      <c r="B90" s="94" t="n"/>
      <c r="C90" s="94" t="n"/>
      <c r="D90" s="94" t="n"/>
      <c r="E90" s="94" t="n"/>
      <c r="F90" s="94" t="n"/>
    </row>
    <row r="91" ht="12.75" customHeight="1" s="110">
      <c r="B91" s="94" t="n"/>
      <c r="C91" s="94" t="n"/>
      <c r="D91" s="94" t="n"/>
      <c r="E91" s="94" t="n"/>
      <c r="F91" s="94" t="n"/>
    </row>
    <row r="92" ht="12.75" customHeight="1" s="110">
      <c r="B92" s="94" t="n"/>
      <c r="C92" s="94" t="n"/>
      <c r="D92" s="94" t="n"/>
      <c r="E92" s="94" t="n"/>
      <c r="F92" s="94" t="n"/>
    </row>
    <row r="93" ht="12.75" customHeight="1" s="110">
      <c r="B93" s="94" t="n"/>
      <c r="C93" s="94" t="n"/>
      <c r="D93" s="94" t="n"/>
      <c r="E93" s="94" t="n"/>
      <c r="F93" s="94" t="n"/>
    </row>
    <row r="94" ht="12.75" customHeight="1" s="110">
      <c r="B94" s="94" t="n"/>
      <c r="C94" s="94" t="n"/>
      <c r="D94" s="94" t="n"/>
      <c r="E94" s="94" t="n"/>
      <c r="F94" s="94" t="n"/>
    </row>
    <row r="95" ht="12.75" customHeight="1" s="110">
      <c r="B95" s="94" t="n"/>
      <c r="C95" s="94" t="n"/>
      <c r="D95" s="94" t="n"/>
      <c r="E95" s="94" t="n"/>
      <c r="F95" s="94" t="n"/>
    </row>
    <row r="96" ht="12.75" customHeight="1" s="110">
      <c r="B96" s="94" t="n"/>
      <c r="C96" s="94" t="n"/>
      <c r="D96" s="94" t="n"/>
      <c r="E96" s="94" t="n"/>
      <c r="F96" s="94" t="n"/>
    </row>
    <row r="97" ht="12.75" customHeight="1" s="110"/>
    <row r="98" ht="12.75" customHeight="1" s="110"/>
    <row r="99" ht="12.75" customHeight="1" s="110"/>
    <row r="100" ht="12.75" customHeight="1" s="110"/>
    <row r="101" ht="12.75" customHeight="1" s="110"/>
    <row r="102" ht="12.75" customHeight="1" s="110"/>
    <row r="103" ht="12.75" customHeight="1" s="110"/>
    <row r="104" ht="12.75" customHeight="1" s="110"/>
    <row r="105" ht="12.75" customHeight="1" s="110"/>
    <row r="106" ht="12.75" customHeight="1" s="110"/>
    <row r="107" ht="12.75" customHeight="1" s="110"/>
    <row r="108" ht="12.75" customHeight="1" s="110"/>
    <row r="109" ht="12.75" customHeight="1" s="110"/>
    <row r="110" ht="12.75" customHeight="1" s="110"/>
    <row r="111" ht="12.75" customHeight="1" s="110"/>
    <row r="112" ht="12.75" customHeight="1" s="110"/>
    <row r="113" ht="12.75" customHeight="1" s="110"/>
    <row r="114" ht="12.75" customHeight="1" s="110"/>
    <row r="115" ht="12.75" customHeight="1" s="110"/>
    <row r="116" ht="12.75" customHeight="1" s="110"/>
    <row r="117" ht="12.75" customHeight="1" s="110"/>
    <row r="118" ht="12.75" customHeight="1" s="110"/>
    <row r="119" ht="12.75" customHeight="1" s="110"/>
    <row r="120" ht="12.75" customHeight="1" s="110"/>
    <row r="121" ht="12.75" customHeight="1" s="110"/>
    <row r="122" ht="12.75" customHeight="1" s="110"/>
    <row r="123" ht="12.75" customHeight="1" s="110"/>
    <row r="124" ht="12.75" customHeight="1" s="110"/>
    <row r="125" ht="12.75" customHeight="1" s="110"/>
    <row r="126" ht="12.75" customHeight="1" s="110"/>
    <row r="127" ht="12.75" customHeight="1" s="110"/>
    <row r="128" ht="12.75" customHeight="1" s="110"/>
    <row r="129" ht="12.75" customHeight="1" s="110"/>
    <row r="130" ht="12.75" customHeight="1" s="110"/>
    <row r="131" ht="12.75" customHeight="1" s="110"/>
    <row r="132" ht="12.75" customHeight="1" s="110"/>
    <row r="133" ht="12.75" customHeight="1" s="110"/>
    <row r="134" ht="12.75" customHeight="1" s="110"/>
    <row r="135" ht="12.75" customHeight="1" s="110"/>
    <row r="136" ht="12.75" customHeight="1" s="110"/>
    <row r="137" ht="12.75" customHeight="1" s="110"/>
    <row r="138" ht="12.75" customHeight="1" s="110"/>
    <row r="139" ht="12.75" customHeight="1" s="110"/>
    <row r="140" ht="12.75" customHeight="1" s="110"/>
    <row r="141" ht="12.75" customHeight="1" s="110"/>
    <row r="142" ht="12.75" customHeight="1" s="110"/>
    <row r="143" ht="12.75" customHeight="1" s="110"/>
    <row r="144" ht="12.75" customHeight="1" s="110"/>
    <row r="145" ht="12.75" customHeight="1" s="110"/>
    <row r="146" ht="12.75" customHeight="1" s="110"/>
    <row r="147" ht="12.75" customHeight="1" s="110"/>
    <row r="148" ht="12.75" customHeight="1" s="110"/>
    <row r="149" ht="12.75" customHeight="1" s="110"/>
    <row r="150" ht="12.75" customHeight="1" s="110"/>
    <row r="151" ht="12.75" customHeight="1" s="110"/>
    <row r="152" ht="12.75" customHeight="1" s="110"/>
    <row r="153" ht="12.75" customHeight="1" s="110"/>
    <row r="154" ht="12.75" customHeight="1" s="110"/>
    <row r="155" ht="12.75" customHeight="1" s="110"/>
    <row r="156" ht="12.75" customHeight="1" s="110"/>
    <row r="157" ht="12.75" customHeight="1" s="110"/>
    <row r="158" ht="12.75" customHeight="1" s="110"/>
    <row r="159" ht="12.75" customHeight="1" s="110"/>
    <row r="160" ht="12.75" customHeight="1" s="110"/>
    <row r="161" ht="12.75" customHeight="1" s="110"/>
    <row r="162" ht="12.75" customHeight="1" s="110"/>
    <row r="163" ht="12.75" customHeight="1" s="110"/>
    <row r="164" ht="12.75" customHeight="1" s="110"/>
    <row r="165" ht="12.75" customHeight="1" s="110"/>
    <row r="166" ht="12.75" customHeight="1" s="110"/>
    <row r="167" ht="12.75" customHeight="1" s="110"/>
    <row r="168" ht="12.75" customHeight="1" s="110"/>
    <row r="169" ht="12.75" customHeight="1" s="110"/>
    <row r="170" ht="12.75" customHeight="1" s="110"/>
    <row r="171" ht="12.75" customHeight="1" s="110"/>
    <row r="172" ht="12.75" customHeight="1" s="110"/>
    <row r="173" ht="12.75" customHeight="1" s="110"/>
    <row r="174" ht="12.75" customHeight="1" s="110"/>
    <row r="175" ht="12.75" customHeight="1" s="110"/>
    <row r="176" ht="12.75" customHeight="1" s="110"/>
    <row r="177" ht="12.75" customHeight="1" s="110"/>
    <row r="178" ht="12.75" customHeight="1" s="110"/>
    <row r="179" ht="12.75" customHeight="1" s="110"/>
    <row r="180" ht="12.75" customHeight="1" s="110"/>
    <row r="181" ht="12.75" customHeight="1" s="110"/>
    <row r="182" ht="12.75" customHeight="1" s="110"/>
    <row r="183" ht="12.75" customHeight="1" s="110"/>
    <row r="184" ht="12.75" customHeight="1" s="110"/>
    <row r="185" ht="12.75" customHeight="1" s="110"/>
    <row r="186" ht="12.75" customHeight="1" s="110"/>
    <row r="187" ht="12.75" customHeight="1" s="110"/>
    <row r="188" ht="12.75" customHeight="1" s="110"/>
    <row r="189" ht="12.75" customHeight="1" s="110"/>
    <row r="190" ht="12.75" customHeight="1" s="110"/>
    <row r="191" ht="12.75" customHeight="1" s="110"/>
    <row r="192" ht="12.75" customHeight="1" s="110"/>
    <row r="193" ht="12.75" customHeight="1" s="110"/>
    <row r="194" ht="12.75" customHeight="1" s="110"/>
    <row r="195" ht="12.75" customHeight="1" s="110"/>
    <row r="196" ht="12.75" customHeight="1" s="110"/>
    <row r="197" ht="12.75" customHeight="1" s="110"/>
    <row r="198" ht="12.75" customHeight="1" s="110"/>
    <row r="199" ht="12.75" customHeight="1" s="110"/>
    <row r="200" ht="12.75" customHeight="1" s="110"/>
    <row r="201" ht="12.75" customHeight="1" s="110"/>
    <row r="202" ht="12.75" customHeight="1" s="110"/>
    <row r="203" ht="12.75" customHeight="1" s="110"/>
    <row r="204" ht="12.75" customHeight="1" s="110"/>
    <row r="205" ht="12.75" customHeight="1" s="110"/>
    <row r="206" ht="12.75" customHeight="1" s="110"/>
    <row r="207" ht="12.75" customHeight="1" s="110"/>
    <row r="208" ht="12.75" customHeight="1" s="110"/>
    <row r="209" ht="12.75" customHeight="1" s="110"/>
    <row r="210" ht="12.75" customHeight="1" s="110"/>
    <row r="211" ht="12.75" customHeight="1" s="110"/>
    <row r="212" ht="12.75" customHeight="1" s="110"/>
    <row r="213" ht="12.75" customHeight="1" s="110"/>
    <row r="214" ht="12.75" customHeight="1" s="110"/>
    <row r="215" ht="12.75" customHeight="1" s="110"/>
    <row r="216" ht="12.75" customHeight="1" s="110"/>
    <row r="217" ht="12.75" customHeight="1" s="110"/>
    <row r="218" ht="12.75" customHeight="1" s="110"/>
    <row r="219" ht="12.75" customHeight="1" s="110"/>
    <row r="220" ht="12.75" customHeight="1" s="110"/>
    <row r="221" ht="12.75" customHeight="1" s="110"/>
    <row r="222" ht="12.75" customHeight="1" s="110"/>
    <row r="223" ht="12.75" customHeight="1" s="110"/>
    <row r="224" ht="12.75" customHeight="1" s="110"/>
    <row r="225" ht="12.75" customHeight="1" s="110"/>
    <row r="226" ht="12.75" customHeight="1" s="110"/>
    <row r="227" ht="12.75" customHeight="1" s="110"/>
    <row r="228" ht="12.75" customHeight="1" s="110"/>
    <row r="229" ht="12.75" customHeight="1" s="110"/>
    <row r="230" ht="12.75" customHeight="1" s="110"/>
    <row r="231" ht="12.75" customHeight="1" s="110"/>
    <row r="232" ht="12.75" customHeight="1" s="110"/>
    <row r="233" ht="12.75" customHeight="1" s="110"/>
    <row r="234" ht="12.75" customHeight="1" s="110"/>
    <row r="235" ht="12.75" customHeight="1" s="110"/>
    <row r="236" ht="12.75" customHeight="1" s="110"/>
    <row r="237" ht="12.75" customHeight="1" s="110"/>
    <row r="238" ht="12.75" customHeight="1" s="110"/>
    <row r="239" ht="12.75" customHeight="1" s="110"/>
    <row r="240" ht="12.75" customHeight="1" s="110"/>
    <row r="241" ht="12.75" customHeight="1" s="110"/>
    <row r="242" ht="12.75" customHeight="1" s="110"/>
    <row r="243" ht="12.75" customHeight="1" s="110"/>
    <row r="244" ht="12.75" customHeight="1" s="110"/>
    <row r="245" ht="12.75" customHeight="1" s="110"/>
    <row r="246" ht="12.75" customHeight="1" s="110"/>
    <row r="247" ht="12.75" customHeight="1" s="110"/>
    <row r="248" ht="12.75" customHeight="1" s="110"/>
    <row r="249" ht="12.75" customHeight="1" s="110"/>
    <row r="250" ht="12.75" customHeight="1" s="110"/>
    <row r="251" ht="12.75" customHeight="1" s="110"/>
    <row r="252" ht="12.75" customHeight="1" s="110"/>
    <row r="253" ht="12.75" customHeight="1" s="110"/>
    <row r="254" ht="12.75" customHeight="1" s="110"/>
    <row r="255" ht="12.75" customHeight="1" s="110"/>
    <row r="256" ht="12.75" customHeight="1" s="110"/>
    <row r="257" ht="12.75" customHeight="1" s="110"/>
    <row r="258" ht="12.75" customHeight="1" s="110"/>
    <row r="259" ht="12.75" customHeight="1" s="110"/>
    <row r="260" ht="12.75" customHeight="1" s="110"/>
    <row r="261" ht="12.75" customHeight="1" s="110"/>
    <row r="262" ht="12.75" customHeight="1" s="110"/>
    <row r="263" ht="12.75" customHeight="1" s="110"/>
    <row r="264" ht="12.75" customHeight="1" s="110"/>
    <row r="265" ht="12.75" customHeight="1" s="110"/>
    <row r="266" ht="12.75" customHeight="1" s="110"/>
    <row r="267" ht="12.75" customHeight="1" s="110"/>
    <row r="268" ht="12.75" customHeight="1" s="110"/>
    <row r="269" ht="12.75" customHeight="1" s="110"/>
    <row r="270" ht="12.75" customHeight="1" s="110"/>
    <row r="271" ht="12.75" customHeight="1" s="110"/>
    <row r="272" ht="12.75" customHeight="1" s="110"/>
    <row r="273" ht="12.75" customHeight="1" s="110"/>
    <row r="274" ht="12.75" customHeight="1" s="110"/>
    <row r="275" ht="12.75" customHeight="1" s="110"/>
    <row r="276" ht="12.75" customHeight="1" s="110"/>
    <row r="277" ht="12.75" customHeight="1" s="110"/>
    <row r="278" ht="12.75" customHeight="1" s="110"/>
    <row r="279" ht="12.75" customHeight="1" s="110"/>
    <row r="280" ht="12.75" customHeight="1" s="110"/>
    <row r="281" ht="12.75" customHeight="1" s="110"/>
    <row r="282" ht="12.75" customHeight="1" s="110"/>
    <row r="283" ht="12.75" customHeight="1" s="110"/>
    <row r="284" ht="12.75" customHeight="1" s="110"/>
    <row r="285" ht="12.75" customHeight="1" s="110"/>
    <row r="286" ht="12.75" customHeight="1" s="110"/>
    <row r="287" ht="12.75" customHeight="1" s="110"/>
    <row r="288" ht="12.75" customHeight="1" s="110"/>
    <row r="289" ht="12.75" customHeight="1" s="110"/>
    <row r="290" ht="12.75" customHeight="1" s="110"/>
    <row r="291" ht="12.75" customHeight="1" s="110"/>
    <row r="292" ht="12.75" customHeight="1" s="110"/>
    <row r="293" ht="12.75" customHeight="1" s="110"/>
    <row r="294" ht="12.75" customHeight="1" s="110"/>
    <row r="295" ht="12.75" customHeight="1" s="110"/>
    <row r="296" ht="12.75" customHeight="1" s="110"/>
    <row r="297" ht="12.75" customHeight="1" s="110"/>
    <row r="298" ht="12.75" customHeight="1" s="110"/>
    <row r="299" ht="12.75" customHeight="1" s="110"/>
    <row r="300" ht="12.75" customHeight="1" s="110"/>
    <row r="301" ht="12.75" customHeight="1" s="110"/>
    <row r="302" ht="12.75" customHeight="1" s="110"/>
    <row r="303" ht="12.75" customHeight="1" s="110"/>
    <row r="304" ht="12.75" customHeight="1" s="110"/>
    <row r="305" ht="12.75" customHeight="1" s="110"/>
    <row r="306" ht="12.75" customHeight="1" s="110"/>
    <row r="307" ht="12.75" customHeight="1" s="110"/>
    <row r="308" ht="12.75" customHeight="1" s="110"/>
    <row r="309" ht="12.75" customHeight="1" s="110"/>
    <row r="310" ht="12.75" customHeight="1" s="110"/>
    <row r="311" ht="12.75" customHeight="1" s="110"/>
    <row r="312" ht="12.75" customHeight="1" s="110"/>
    <row r="313" ht="12.75" customHeight="1" s="110"/>
    <row r="314" ht="12.75" customHeight="1" s="110"/>
    <row r="315" ht="12.75" customHeight="1" s="110"/>
    <row r="316" ht="12.75" customHeight="1" s="110"/>
    <row r="317" ht="12.75" customHeight="1" s="110"/>
    <row r="318" ht="12.75" customHeight="1" s="110"/>
    <row r="319" ht="12.75" customHeight="1" s="110"/>
    <row r="320" ht="12.75" customHeight="1" s="110"/>
    <row r="321" ht="12.75" customHeight="1" s="110"/>
    <row r="322" ht="12.75" customHeight="1" s="110"/>
    <row r="323" ht="12.75" customHeight="1" s="110"/>
    <row r="324" ht="12.75" customHeight="1" s="110"/>
    <row r="325" ht="12.75" customHeight="1" s="110"/>
    <row r="326" ht="12.75" customHeight="1" s="110"/>
    <row r="327" ht="12.75" customHeight="1" s="110"/>
    <row r="328" ht="12.75" customHeight="1" s="110"/>
    <row r="329" ht="12.75" customHeight="1" s="110"/>
    <row r="330" ht="12.75" customHeight="1" s="110"/>
    <row r="331" ht="12.75" customHeight="1" s="110"/>
    <row r="332" ht="12.75" customHeight="1" s="110"/>
    <row r="333" ht="12.75" customHeight="1" s="110"/>
    <row r="334" ht="12.75" customHeight="1" s="110"/>
    <row r="335" ht="12.75" customHeight="1" s="110"/>
    <row r="336" ht="12.75" customHeight="1" s="110"/>
    <row r="337" ht="12.75" customHeight="1" s="110"/>
    <row r="338" ht="12.75" customHeight="1" s="110"/>
    <row r="339" ht="12.75" customHeight="1" s="110"/>
    <row r="340" ht="12.75" customHeight="1" s="110"/>
    <row r="341" ht="12.75" customHeight="1" s="110"/>
    <row r="342" ht="12.75" customHeight="1" s="110"/>
    <row r="343" ht="12.75" customHeight="1" s="110"/>
    <row r="344" ht="12.75" customHeight="1" s="110"/>
    <row r="345" ht="12.75" customHeight="1" s="110"/>
    <row r="346" ht="12.75" customHeight="1" s="110"/>
    <row r="347" ht="12.75" customHeight="1" s="110"/>
    <row r="348" ht="12.75" customHeight="1" s="110"/>
    <row r="349" ht="12.75" customHeight="1" s="110"/>
    <row r="350" ht="12.75" customHeight="1" s="110"/>
    <row r="351" ht="12.75" customHeight="1" s="110"/>
    <row r="352" ht="12.75" customHeight="1" s="110"/>
    <row r="353" ht="12.75" customHeight="1" s="110"/>
    <row r="354" ht="12.75" customHeight="1" s="110"/>
    <row r="355" ht="12.75" customHeight="1" s="110"/>
    <row r="356" ht="12.75" customHeight="1" s="110"/>
    <row r="357" ht="12.75" customHeight="1" s="110"/>
    <row r="358" ht="12.75" customHeight="1" s="110"/>
    <row r="359" ht="12.75" customHeight="1" s="110"/>
    <row r="360" ht="12.75" customHeight="1" s="110"/>
    <row r="361" ht="12.75" customHeight="1" s="110"/>
    <row r="362" ht="12.75" customHeight="1" s="110"/>
    <row r="363" ht="12.75" customHeight="1" s="110"/>
    <row r="364" ht="12.75" customHeight="1" s="110"/>
    <row r="365" ht="12.75" customHeight="1" s="110"/>
    <row r="366" ht="12.75" customHeight="1" s="110"/>
    <row r="367" ht="12.75" customHeight="1" s="110"/>
    <row r="368" ht="12.75" customHeight="1" s="110"/>
    <row r="369" ht="12.75" customHeight="1" s="110"/>
    <row r="370" ht="12.75" customHeight="1" s="110"/>
    <row r="371" ht="12.75" customHeight="1" s="110"/>
    <row r="372" ht="12.75" customHeight="1" s="110"/>
    <row r="373" ht="12.75" customHeight="1" s="110"/>
    <row r="374" ht="12.75" customHeight="1" s="110"/>
    <row r="375" ht="12.75" customHeight="1" s="110"/>
    <row r="376" ht="12.75" customHeight="1" s="110"/>
    <row r="377" ht="12.75" customHeight="1" s="110"/>
    <row r="378" ht="12.75" customHeight="1" s="110"/>
    <row r="379" ht="12.75" customHeight="1" s="110"/>
    <row r="380" ht="12.75" customHeight="1" s="110"/>
    <row r="381" ht="12.75" customHeight="1" s="110"/>
    <row r="382" ht="12.75" customHeight="1" s="110"/>
    <row r="383" ht="12.75" customHeight="1" s="110"/>
    <row r="384" ht="12.75" customHeight="1" s="110"/>
    <row r="385" ht="12.75" customHeight="1" s="110"/>
    <row r="386" ht="12.75" customHeight="1" s="110"/>
    <row r="387" ht="12.75" customHeight="1" s="110"/>
    <row r="388" ht="12.75" customHeight="1" s="110"/>
    <row r="389" ht="12.75" customHeight="1" s="110"/>
    <row r="390" ht="12.75" customHeight="1" s="110"/>
    <row r="391" ht="12.75" customHeight="1" s="110"/>
    <row r="392" ht="12.75" customHeight="1" s="110"/>
    <row r="393" ht="12.75" customHeight="1" s="110"/>
    <row r="394" ht="12.75" customHeight="1" s="110"/>
    <row r="395" ht="12.75" customHeight="1" s="110"/>
    <row r="396" ht="12.75" customHeight="1" s="110"/>
    <row r="397" ht="12.75" customHeight="1" s="110"/>
    <row r="398" ht="12.75" customHeight="1" s="110"/>
    <row r="399" ht="12.75" customHeight="1" s="110"/>
    <row r="400" ht="12.75" customHeight="1" s="110"/>
    <row r="401" ht="12.75" customHeight="1" s="110"/>
    <row r="402" ht="12.75" customHeight="1" s="110"/>
    <row r="403" ht="12.75" customHeight="1" s="110"/>
    <row r="404" ht="12.75" customHeight="1" s="110"/>
    <row r="405" ht="12.75" customHeight="1" s="110"/>
    <row r="406" ht="12.75" customHeight="1" s="110"/>
    <row r="407" ht="12.75" customHeight="1" s="110"/>
    <row r="408" ht="12.75" customHeight="1" s="110"/>
    <row r="409" ht="12.75" customHeight="1" s="110"/>
    <row r="410" ht="12.75" customHeight="1" s="110"/>
    <row r="411" ht="12.75" customHeight="1" s="110"/>
    <row r="412" ht="12.75" customHeight="1" s="110"/>
    <row r="413" ht="12.75" customHeight="1" s="110"/>
    <row r="414" ht="12.75" customHeight="1" s="110"/>
    <row r="415" ht="12.75" customHeight="1" s="110"/>
    <row r="416" ht="12.75" customHeight="1" s="110"/>
    <row r="417" ht="12.75" customHeight="1" s="110"/>
    <row r="418" ht="12.75" customHeight="1" s="110"/>
    <row r="419" ht="12.75" customHeight="1" s="110"/>
    <row r="420" ht="12.75" customHeight="1" s="110"/>
    <row r="421" ht="12.75" customHeight="1" s="110"/>
    <row r="422" ht="12.75" customHeight="1" s="110"/>
    <row r="423" ht="12.75" customHeight="1" s="110"/>
    <row r="424" ht="12.75" customHeight="1" s="110"/>
    <row r="425" ht="12.75" customHeight="1" s="110"/>
    <row r="426" ht="12.75" customHeight="1" s="110"/>
    <row r="427" ht="12.75" customHeight="1" s="110"/>
    <row r="428" ht="12.75" customHeight="1" s="110"/>
    <row r="429" ht="12.75" customHeight="1" s="110"/>
    <row r="430" ht="12.75" customHeight="1" s="110"/>
    <row r="431" ht="12.75" customHeight="1" s="110"/>
    <row r="432" ht="12.75" customHeight="1" s="110"/>
    <row r="433" ht="12.75" customHeight="1" s="110"/>
    <row r="434" ht="12.75" customHeight="1" s="110"/>
    <row r="435" ht="12.75" customHeight="1" s="110"/>
    <row r="436" ht="12.75" customHeight="1" s="110"/>
    <row r="437" ht="12.75" customHeight="1" s="110"/>
    <row r="438" ht="12.75" customHeight="1" s="110"/>
    <row r="439" ht="12.75" customHeight="1" s="110"/>
    <row r="440" ht="12.75" customHeight="1" s="110"/>
    <row r="441" ht="12.75" customHeight="1" s="110"/>
    <row r="442" ht="12.75" customHeight="1" s="110"/>
    <row r="443" ht="12.75" customHeight="1" s="110"/>
    <row r="444" ht="12.75" customHeight="1" s="110"/>
    <row r="445" ht="12.75" customHeight="1" s="110"/>
    <row r="446" ht="12.75" customHeight="1" s="110"/>
    <row r="447" ht="12.75" customHeight="1" s="110"/>
    <row r="448" ht="12.75" customHeight="1" s="110"/>
    <row r="449" ht="12.75" customHeight="1" s="110"/>
    <row r="450" ht="12.75" customHeight="1" s="110"/>
    <row r="451" ht="12.75" customHeight="1" s="110"/>
    <row r="452" ht="12.75" customHeight="1" s="110"/>
    <row r="453" ht="12.75" customHeight="1" s="110"/>
    <row r="454" ht="12.75" customHeight="1" s="110"/>
    <row r="455" ht="12.75" customHeight="1" s="110"/>
    <row r="456" ht="12.75" customHeight="1" s="110"/>
    <row r="457" ht="12.75" customHeight="1" s="110"/>
    <row r="458" ht="12.75" customHeight="1" s="110"/>
    <row r="459" ht="12.75" customHeight="1" s="110"/>
    <row r="460" ht="12.75" customHeight="1" s="110"/>
    <row r="461" ht="12.75" customHeight="1" s="110"/>
    <row r="462" ht="12.75" customHeight="1" s="110"/>
    <row r="463" ht="12.75" customHeight="1" s="110"/>
    <row r="464" ht="12.75" customHeight="1" s="110"/>
    <row r="465" ht="12.75" customHeight="1" s="110"/>
    <row r="466" ht="12.75" customHeight="1" s="110"/>
    <row r="467" ht="12.75" customHeight="1" s="110"/>
    <row r="468" ht="12.75" customHeight="1" s="110"/>
    <row r="469" ht="12.75" customHeight="1" s="110"/>
    <row r="470" ht="12.75" customHeight="1" s="110"/>
    <row r="471" ht="12.75" customHeight="1" s="110"/>
    <row r="472" ht="12.75" customHeight="1" s="110"/>
    <row r="473" ht="12.75" customHeight="1" s="110"/>
    <row r="474" ht="12.75" customHeight="1" s="110"/>
    <row r="475" ht="12.75" customHeight="1" s="110"/>
    <row r="476" ht="12.75" customHeight="1" s="110"/>
    <row r="477" ht="12.75" customHeight="1" s="110"/>
    <row r="478" ht="12.75" customHeight="1" s="110"/>
    <row r="479" ht="12.75" customHeight="1" s="110"/>
    <row r="480" ht="12.75" customHeight="1" s="110"/>
    <row r="481" ht="12.75" customHeight="1" s="110"/>
    <row r="482" ht="12.75" customHeight="1" s="110"/>
    <row r="483" ht="12.75" customHeight="1" s="110"/>
    <row r="484" ht="12.75" customHeight="1" s="110"/>
    <row r="485" ht="12.75" customHeight="1" s="110"/>
    <row r="486" ht="12.75" customHeight="1" s="110"/>
    <row r="487" ht="12.75" customHeight="1" s="110"/>
    <row r="488" ht="12.75" customHeight="1" s="110"/>
    <row r="489" ht="12.75" customHeight="1" s="110"/>
    <row r="490" ht="12.75" customHeight="1" s="110"/>
    <row r="491" ht="12.75" customHeight="1" s="110"/>
    <row r="492" ht="12.75" customHeight="1" s="110"/>
    <row r="493" ht="12.75" customHeight="1" s="110"/>
    <row r="494" ht="12.75" customHeight="1" s="110"/>
    <row r="495" ht="12.75" customHeight="1" s="110"/>
    <row r="496" ht="12.75" customHeight="1" s="110"/>
    <row r="497" ht="12.75" customHeight="1" s="110"/>
    <row r="498" ht="12.75" customHeight="1" s="110"/>
    <row r="499" ht="12.75" customHeight="1" s="110"/>
    <row r="500" ht="12.75" customHeight="1" s="110"/>
    <row r="501" ht="12.75" customHeight="1" s="110"/>
    <row r="502" ht="12.75" customHeight="1" s="110"/>
    <row r="503" ht="12.75" customHeight="1" s="110"/>
    <row r="504" ht="12.75" customHeight="1" s="110"/>
    <row r="505" ht="12.75" customHeight="1" s="110"/>
    <row r="506" ht="12.75" customHeight="1" s="110"/>
    <row r="507" ht="12.75" customHeight="1" s="110"/>
    <row r="508" ht="12.75" customHeight="1" s="110"/>
    <row r="509" ht="12.75" customHeight="1" s="110"/>
    <row r="510" ht="12.75" customHeight="1" s="110"/>
    <row r="511" ht="12.75" customHeight="1" s="110"/>
    <row r="512" ht="12.75" customHeight="1" s="110"/>
    <row r="513" ht="12.75" customHeight="1" s="110"/>
    <row r="514" ht="12.75" customHeight="1" s="110"/>
    <row r="515" ht="12.75" customHeight="1" s="110"/>
    <row r="516" ht="12.75" customHeight="1" s="110"/>
    <row r="517" ht="12.75" customHeight="1" s="110"/>
    <row r="518" ht="12.75" customHeight="1" s="110"/>
    <row r="519" ht="12.75" customHeight="1" s="110"/>
    <row r="520" ht="12.75" customHeight="1" s="110"/>
    <row r="521" ht="12.75" customHeight="1" s="110"/>
    <row r="522" ht="12.75" customHeight="1" s="110"/>
    <row r="523" ht="12.75" customHeight="1" s="110"/>
    <row r="524" ht="12.75" customHeight="1" s="110"/>
    <row r="525" ht="12.75" customHeight="1" s="110"/>
    <row r="526" ht="12.75" customHeight="1" s="110"/>
    <row r="527" ht="12.75" customHeight="1" s="110"/>
    <row r="528" ht="12.75" customHeight="1" s="110"/>
    <row r="529" ht="12.75" customHeight="1" s="110"/>
    <row r="530" ht="12.75" customHeight="1" s="110"/>
    <row r="531" ht="12.75" customHeight="1" s="110"/>
    <row r="532" ht="12.75" customHeight="1" s="110"/>
    <row r="533" ht="12.75" customHeight="1" s="110"/>
    <row r="534" ht="12.75" customHeight="1" s="110"/>
    <row r="535" ht="12.75" customHeight="1" s="110"/>
    <row r="536" ht="12.75" customHeight="1" s="110"/>
    <row r="537" ht="12.75" customHeight="1" s="110"/>
    <row r="538" ht="12.75" customHeight="1" s="110"/>
    <row r="539" ht="12.75" customHeight="1" s="110"/>
    <row r="540" ht="12.75" customHeight="1" s="110"/>
    <row r="541" ht="12.75" customHeight="1" s="110"/>
    <row r="542" ht="12.75" customHeight="1" s="110"/>
    <row r="543" ht="12.75" customHeight="1" s="110"/>
    <row r="544" ht="12.75" customHeight="1" s="110"/>
    <row r="545" ht="12.75" customHeight="1" s="110"/>
    <row r="546" ht="12.75" customHeight="1" s="110"/>
    <row r="547" ht="12.75" customHeight="1" s="110"/>
    <row r="548" ht="12.75" customHeight="1" s="110"/>
    <row r="549" ht="12.75" customHeight="1" s="110"/>
    <row r="550" ht="12.75" customHeight="1" s="110"/>
    <row r="551" ht="12.75" customHeight="1" s="110"/>
    <row r="552" ht="12.75" customHeight="1" s="110"/>
    <row r="553" ht="12.75" customHeight="1" s="110"/>
    <row r="554" ht="12.75" customHeight="1" s="110"/>
    <row r="555" ht="12.75" customHeight="1" s="110"/>
    <row r="556" ht="12.75" customHeight="1" s="110"/>
    <row r="557" ht="12.75" customHeight="1" s="110"/>
    <row r="558" ht="12.75" customHeight="1" s="110"/>
    <row r="559" ht="12.75" customHeight="1" s="110"/>
    <row r="560" ht="12.75" customHeight="1" s="110"/>
    <row r="561" ht="12.75" customHeight="1" s="110"/>
    <row r="562" ht="12.75" customHeight="1" s="110"/>
    <row r="563" ht="12.75" customHeight="1" s="110"/>
    <row r="564" ht="12.75" customHeight="1" s="110"/>
    <row r="565" ht="12.75" customHeight="1" s="110"/>
    <row r="566" ht="12.75" customHeight="1" s="110"/>
    <row r="567" ht="12.75" customHeight="1" s="110"/>
    <row r="568" ht="12.75" customHeight="1" s="110"/>
    <row r="569" ht="12.75" customHeight="1" s="110"/>
    <row r="570" ht="12.75" customHeight="1" s="110"/>
    <row r="571" ht="12.75" customHeight="1" s="110"/>
    <row r="572" ht="12.75" customHeight="1" s="110"/>
    <row r="573" ht="12.75" customHeight="1" s="110"/>
    <row r="574" ht="12.75" customHeight="1" s="110"/>
    <row r="575" ht="12.75" customHeight="1" s="110"/>
    <row r="576" ht="12.75" customHeight="1" s="110"/>
    <row r="577" ht="12.75" customHeight="1" s="110"/>
    <row r="578" ht="12.75" customHeight="1" s="110"/>
    <row r="579" ht="12.75" customHeight="1" s="110"/>
    <row r="580" ht="12.75" customHeight="1" s="110"/>
    <row r="581" ht="12.75" customHeight="1" s="110"/>
    <row r="582" ht="12.75" customHeight="1" s="110"/>
    <row r="583" ht="12.75" customHeight="1" s="110"/>
    <row r="584" ht="12.75" customHeight="1" s="110"/>
    <row r="585" ht="12.75" customHeight="1" s="110"/>
    <row r="586" ht="12.75" customHeight="1" s="110"/>
    <row r="587" ht="12.75" customHeight="1" s="110"/>
    <row r="588" ht="12.75" customHeight="1" s="110"/>
    <row r="589" ht="12.75" customHeight="1" s="110"/>
    <row r="590" ht="12.75" customHeight="1" s="110"/>
    <row r="591" ht="12.75" customHeight="1" s="110"/>
    <row r="592" ht="12.75" customHeight="1" s="110"/>
    <row r="593" ht="12.75" customHeight="1" s="110"/>
    <row r="594" ht="12.75" customHeight="1" s="110"/>
    <row r="595" ht="12.75" customHeight="1" s="110"/>
    <row r="596" ht="12.75" customHeight="1" s="110"/>
    <row r="597" ht="12.75" customHeight="1" s="110"/>
    <row r="598" ht="12.75" customHeight="1" s="110"/>
    <row r="599" ht="12.75" customHeight="1" s="110"/>
    <row r="600" ht="12.75" customHeight="1" s="110"/>
    <row r="601" ht="12.75" customHeight="1" s="110"/>
    <row r="602" ht="12.75" customHeight="1" s="110"/>
    <row r="603" ht="12.75" customHeight="1" s="110"/>
    <row r="604" ht="12.75" customHeight="1" s="110"/>
    <row r="605" ht="12.75" customHeight="1" s="110"/>
    <row r="606" ht="12.75" customHeight="1" s="110"/>
    <row r="607" ht="12.75" customHeight="1" s="110"/>
    <row r="608" ht="12.75" customHeight="1" s="110"/>
    <row r="609" ht="12.75" customHeight="1" s="110"/>
    <row r="610" ht="12.75" customHeight="1" s="110"/>
    <row r="611" ht="12.75" customHeight="1" s="110"/>
    <row r="612" ht="12.75" customHeight="1" s="110"/>
    <row r="613" ht="12.75" customHeight="1" s="110"/>
    <row r="614" ht="12.75" customHeight="1" s="110"/>
    <row r="615" ht="12.75" customHeight="1" s="110"/>
    <row r="616" ht="12.75" customHeight="1" s="110"/>
    <row r="617" ht="12.75" customHeight="1" s="110"/>
    <row r="618" ht="12.75" customHeight="1" s="110"/>
    <row r="619" ht="12.75" customHeight="1" s="110"/>
    <row r="620" ht="12.75" customHeight="1" s="110"/>
    <row r="621" ht="12.75" customHeight="1" s="110"/>
    <row r="622" ht="12.75" customHeight="1" s="110"/>
    <row r="623" ht="12.75" customHeight="1" s="110"/>
    <row r="624" ht="12.75" customHeight="1" s="110"/>
    <row r="625" ht="12.75" customHeight="1" s="110"/>
    <row r="626" ht="12.75" customHeight="1" s="110"/>
    <row r="627" ht="12.75" customHeight="1" s="110"/>
    <row r="628" ht="12.75" customHeight="1" s="110"/>
    <row r="629" ht="12.75" customHeight="1" s="110"/>
    <row r="630" ht="12.75" customHeight="1" s="110"/>
    <row r="631" ht="12.75" customHeight="1" s="110"/>
    <row r="632" ht="12.75" customHeight="1" s="110"/>
    <row r="633" ht="12.75" customHeight="1" s="110"/>
    <row r="634" ht="12.75" customHeight="1" s="110"/>
    <row r="635" ht="12.75" customHeight="1" s="110"/>
    <row r="636" ht="12.75" customHeight="1" s="110"/>
    <row r="637" ht="12.75" customHeight="1" s="110"/>
    <row r="638" ht="12.75" customHeight="1" s="110"/>
    <row r="639" ht="12.75" customHeight="1" s="110"/>
    <row r="640" ht="12.75" customHeight="1" s="110"/>
    <row r="641" ht="12.75" customHeight="1" s="110"/>
    <row r="642" ht="12.75" customHeight="1" s="110"/>
    <row r="643" ht="12.75" customHeight="1" s="110"/>
    <row r="644" ht="12.75" customHeight="1" s="110"/>
    <row r="645" ht="12.75" customHeight="1" s="110"/>
    <row r="646" ht="12.75" customHeight="1" s="110"/>
    <row r="647" ht="12.75" customHeight="1" s="110"/>
    <row r="648" ht="12.75" customHeight="1" s="110"/>
    <row r="649" ht="12.75" customHeight="1" s="110"/>
    <row r="650" ht="12.75" customHeight="1" s="110"/>
    <row r="651" ht="12.75" customHeight="1" s="110"/>
    <row r="652" ht="12.75" customHeight="1" s="110"/>
    <row r="653" ht="12.75" customHeight="1" s="110"/>
    <row r="654" ht="12.75" customHeight="1" s="110"/>
    <row r="655" ht="12.75" customHeight="1" s="110"/>
    <row r="656" ht="12.75" customHeight="1" s="110"/>
    <row r="657" ht="12.75" customHeight="1" s="110"/>
    <row r="658" ht="12.75" customHeight="1" s="110"/>
    <row r="659" ht="12.75" customHeight="1" s="110"/>
    <row r="660" ht="12.75" customHeight="1" s="110"/>
    <row r="661" ht="12.75" customHeight="1" s="110"/>
    <row r="662" ht="12.75" customHeight="1" s="110"/>
    <row r="663" ht="12.75" customHeight="1" s="110"/>
    <row r="664" ht="12.75" customHeight="1" s="110"/>
    <row r="665" ht="12.75" customHeight="1" s="110"/>
    <row r="666" ht="12.75" customHeight="1" s="110"/>
    <row r="667" ht="12.75" customHeight="1" s="110"/>
    <row r="668" ht="12.75" customHeight="1" s="110"/>
    <row r="669" ht="12.75" customHeight="1" s="110"/>
    <row r="670" ht="12.75" customHeight="1" s="110"/>
    <row r="671" ht="12.75" customHeight="1" s="110"/>
    <row r="672" ht="12.75" customHeight="1" s="110"/>
    <row r="673" ht="12.75" customHeight="1" s="110"/>
    <row r="674" ht="12.75" customHeight="1" s="110"/>
    <row r="675" ht="12.75" customHeight="1" s="110"/>
    <row r="676" ht="12.75" customHeight="1" s="110"/>
    <row r="677" ht="12.75" customHeight="1" s="110"/>
    <row r="678" ht="12.75" customHeight="1" s="110"/>
    <row r="679" ht="12.75" customHeight="1" s="110"/>
    <row r="680" ht="12.75" customHeight="1" s="110"/>
    <row r="681" ht="12.75" customHeight="1" s="110"/>
    <row r="682" ht="12.75" customHeight="1" s="110"/>
    <row r="683" ht="12.75" customHeight="1" s="110"/>
    <row r="684" ht="12.75" customHeight="1" s="110"/>
    <row r="685" ht="12.75" customHeight="1" s="110"/>
    <row r="686" ht="12.75" customHeight="1" s="110"/>
    <row r="687" ht="12.75" customHeight="1" s="110"/>
    <row r="688" ht="12.75" customHeight="1" s="110"/>
    <row r="689" ht="12.75" customHeight="1" s="110"/>
    <row r="690" ht="12.75" customHeight="1" s="110"/>
    <row r="691" ht="12.75" customHeight="1" s="110"/>
    <row r="692" ht="12.75" customHeight="1" s="110"/>
    <row r="693" ht="12.75" customHeight="1" s="110"/>
    <row r="694" ht="12.75" customHeight="1" s="110"/>
    <row r="695" ht="12.75" customHeight="1" s="110"/>
    <row r="696" ht="12.75" customHeight="1" s="110"/>
    <row r="697" ht="12.75" customHeight="1" s="110"/>
    <row r="698" ht="12.75" customHeight="1" s="110"/>
    <row r="699" ht="12.75" customHeight="1" s="110"/>
    <row r="700" ht="12.75" customHeight="1" s="110"/>
    <row r="701" ht="12.75" customHeight="1" s="110"/>
    <row r="702" ht="12.75" customHeight="1" s="110"/>
    <row r="703" ht="12.75" customHeight="1" s="110"/>
    <row r="704" ht="12.75" customHeight="1" s="110"/>
    <row r="705" ht="12.75" customHeight="1" s="110"/>
    <row r="706" ht="12.75" customHeight="1" s="110"/>
    <row r="707" ht="12.75" customHeight="1" s="110"/>
    <row r="708" ht="12.75" customHeight="1" s="110"/>
    <row r="709" ht="12.75" customHeight="1" s="110"/>
    <row r="710" ht="12.75" customHeight="1" s="110"/>
    <row r="711" ht="12.75" customHeight="1" s="110"/>
    <row r="712" ht="12.75" customHeight="1" s="110"/>
    <row r="713" ht="12.75" customHeight="1" s="110"/>
    <row r="714" ht="12.75" customHeight="1" s="110"/>
    <row r="715" ht="12.75" customHeight="1" s="110"/>
    <row r="716" ht="12.75" customHeight="1" s="110"/>
    <row r="717" ht="12.75" customHeight="1" s="110"/>
    <row r="718" ht="12.75" customHeight="1" s="110"/>
    <row r="719" ht="12.75" customHeight="1" s="110"/>
    <row r="720" ht="12.75" customHeight="1" s="110"/>
    <row r="721" ht="12.75" customHeight="1" s="110"/>
    <row r="722" ht="12.75" customHeight="1" s="110"/>
    <row r="723" ht="12.75" customHeight="1" s="110"/>
    <row r="724" ht="12.75" customHeight="1" s="110"/>
    <row r="725" ht="12.75" customHeight="1" s="110"/>
    <row r="726" ht="12.75" customHeight="1" s="110"/>
    <row r="727" ht="12.75" customHeight="1" s="110"/>
    <row r="728" ht="12.75" customHeight="1" s="110"/>
    <row r="729" ht="12.75" customHeight="1" s="110"/>
    <row r="730" ht="12.75" customHeight="1" s="110"/>
    <row r="731" ht="12.75" customHeight="1" s="110"/>
    <row r="732" ht="12.75" customHeight="1" s="110"/>
    <row r="733" ht="12.75" customHeight="1" s="110"/>
    <row r="734" ht="12.75" customHeight="1" s="110"/>
    <row r="735" ht="12.75" customHeight="1" s="110"/>
    <row r="736" ht="12.75" customHeight="1" s="110"/>
    <row r="737" ht="12.75" customHeight="1" s="110"/>
    <row r="738" ht="12.75" customHeight="1" s="110"/>
    <row r="739" ht="12.75" customHeight="1" s="110"/>
    <row r="740" ht="12.75" customHeight="1" s="110"/>
    <row r="741" ht="12.75" customHeight="1" s="110"/>
    <row r="742" ht="12.75" customHeight="1" s="110"/>
    <row r="743" ht="12.75" customHeight="1" s="110"/>
    <row r="744" ht="12.75" customHeight="1" s="110"/>
    <row r="745" ht="12.75" customHeight="1" s="110"/>
    <row r="746" ht="12.75" customHeight="1" s="110"/>
    <row r="747" ht="12.75" customHeight="1" s="110"/>
    <row r="748" ht="12.75" customHeight="1" s="110"/>
    <row r="749" ht="12.75" customHeight="1" s="110"/>
    <row r="750" ht="12.75" customHeight="1" s="110"/>
    <row r="751" ht="12.75" customHeight="1" s="110"/>
    <row r="752" ht="12.75" customHeight="1" s="110"/>
    <row r="753" ht="12.75" customHeight="1" s="110"/>
    <row r="754" ht="12.75" customHeight="1" s="110"/>
    <row r="755" ht="12.75" customHeight="1" s="110"/>
    <row r="756" ht="12.75" customHeight="1" s="110"/>
    <row r="757" ht="12.75" customHeight="1" s="110"/>
    <row r="758" ht="12.75" customHeight="1" s="110"/>
    <row r="759" ht="12.75" customHeight="1" s="110"/>
    <row r="760" ht="12.75" customHeight="1" s="110"/>
    <row r="761" ht="12.75" customHeight="1" s="110"/>
    <row r="762" ht="12.75" customHeight="1" s="110"/>
    <row r="763" ht="12.75" customHeight="1" s="110"/>
    <row r="764" ht="12.75" customHeight="1" s="110"/>
    <row r="765" ht="12.75" customHeight="1" s="110"/>
    <row r="766" ht="12.75" customHeight="1" s="110"/>
    <row r="767" ht="12.75" customHeight="1" s="110"/>
    <row r="768" ht="12.75" customHeight="1" s="110"/>
    <row r="769" ht="12.75" customHeight="1" s="110"/>
    <row r="770" ht="12.75" customHeight="1" s="110"/>
    <row r="771" ht="12.75" customHeight="1" s="110"/>
    <row r="772" ht="12.75" customHeight="1" s="110"/>
    <row r="773" ht="12.75" customHeight="1" s="110"/>
    <row r="774" ht="12.75" customHeight="1" s="110"/>
    <row r="775" ht="12.75" customHeight="1" s="110"/>
    <row r="776" ht="12.75" customHeight="1" s="110"/>
    <row r="777" ht="12.75" customHeight="1" s="110"/>
    <row r="778" ht="12.75" customHeight="1" s="110"/>
    <row r="779" ht="12.75" customHeight="1" s="110"/>
    <row r="780" ht="12.75" customHeight="1" s="110"/>
    <row r="781" ht="12.75" customHeight="1" s="110"/>
    <row r="782" ht="12.75" customHeight="1" s="110"/>
    <row r="783" ht="12.75" customHeight="1" s="110"/>
    <row r="784" ht="12.75" customHeight="1" s="110"/>
    <row r="785" ht="12.75" customHeight="1" s="110"/>
    <row r="786" ht="12.75" customHeight="1" s="110"/>
    <row r="787" ht="12.75" customHeight="1" s="110"/>
    <row r="788" ht="12.75" customHeight="1" s="110"/>
    <row r="789" ht="12.75" customHeight="1" s="110"/>
    <row r="790" ht="12.75" customHeight="1" s="110"/>
    <row r="791" ht="12.75" customHeight="1" s="110"/>
    <row r="792" ht="12.75" customHeight="1" s="110"/>
    <row r="793" ht="12.75" customHeight="1" s="110"/>
    <row r="794" ht="12.75" customHeight="1" s="110"/>
    <row r="795" ht="12.75" customHeight="1" s="110"/>
    <row r="796" ht="12.75" customHeight="1" s="110"/>
    <row r="797" ht="12.75" customHeight="1" s="110"/>
    <row r="798" ht="12.75" customHeight="1" s="110"/>
    <row r="799" ht="12.75" customHeight="1" s="110"/>
    <row r="800" ht="12.75" customHeight="1" s="110"/>
    <row r="801" ht="12.75" customHeight="1" s="110"/>
    <row r="802" ht="12.75" customHeight="1" s="110"/>
    <row r="803" ht="12.75" customHeight="1" s="110"/>
    <row r="804" ht="12.75" customHeight="1" s="110"/>
    <row r="805" ht="12.75" customHeight="1" s="110"/>
    <row r="806" ht="12.75" customHeight="1" s="110"/>
    <row r="807" ht="12.75" customHeight="1" s="110"/>
    <row r="808" ht="12.75" customHeight="1" s="110"/>
    <row r="809" ht="12.75" customHeight="1" s="110"/>
    <row r="810" ht="12.75" customHeight="1" s="110"/>
    <row r="811" ht="12.75" customHeight="1" s="110"/>
    <row r="812" ht="12.75" customHeight="1" s="110"/>
    <row r="813" ht="12.75" customHeight="1" s="110"/>
    <row r="814" ht="12.75" customHeight="1" s="110"/>
    <row r="815" ht="12.75" customHeight="1" s="110"/>
    <row r="816" ht="12.75" customHeight="1" s="110"/>
    <row r="817" ht="12.75" customHeight="1" s="110"/>
    <row r="818" ht="12.75" customHeight="1" s="110"/>
    <row r="819" ht="12.75" customHeight="1" s="110"/>
    <row r="820" ht="12.75" customHeight="1" s="110"/>
    <row r="821" ht="12.75" customHeight="1" s="110"/>
    <row r="822" ht="12.75" customHeight="1" s="110"/>
    <row r="823" ht="12.75" customHeight="1" s="110"/>
    <row r="824" ht="12.75" customHeight="1" s="110"/>
    <row r="825" ht="12.75" customHeight="1" s="110"/>
    <row r="826" ht="12.75" customHeight="1" s="110"/>
    <row r="827" ht="12.75" customHeight="1" s="110"/>
    <row r="828" ht="12.75" customHeight="1" s="110"/>
    <row r="829" ht="12.75" customHeight="1" s="110"/>
    <row r="830" ht="12.75" customHeight="1" s="110"/>
    <row r="831" ht="12.75" customHeight="1" s="110"/>
    <row r="832" ht="12.75" customHeight="1" s="110"/>
    <row r="833" ht="12.75" customHeight="1" s="110"/>
    <row r="834" ht="12.75" customHeight="1" s="110"/>
    <row r="835" ht="12.75" customHeight="1" s="110"/>
    <row r="836" ht="12.75" customHeight="1" s="110"/>
    <row r="837" ht="12.75" customHeight="1" s="110"/>
    <row r="838" ht="12.75" customHeight="1" s="110"/>
    <row r="839" ht="12.75" customHeight="1" s="110"/>
    <row r="840" ht="12.75" customHeight="1" s="110"/>
    <row r="841" ht="12.75" customHeight="1" s="110"/>
    <row r="842" ht="12.75" customHeight="1" s="110"/>
    <row r="843" ht="12.75" customHeight="1" s="110"/>
    <row r="844" ht="12.75" customHeight="1" s="110"/>
    <row r="845" ht="12.75" customHeight="1" s="110"/>
    <row r="846" ht="12.75" customHeight="1" s="110"/>
    <row r="847" ht="12.75" customHeight="1" s="110"/>
    <row r="848" ht="12.75" customHeight="1" s="110"/>
    <row r="849" ht="12.75" customHeight="1" s="110"/>
    <row r="850" ht="12.75" customHeight="1" s="110"/>
    <row r="851" ht="12.75" customHeight="1" s="110"/>
    <row r="852" ht="12.75" customHeight="1" s="110"/>
    <row r="853" ht="12.75" customHeight="1" s="110"/>
    <row r="854" ht="12.75" customHeight="1" s="110"/>
    <row r="855" ht="12.75" customHeight="1" s="110"/>
    <row r="856" ht="12.75" customHeight="1" s="110"/>
    <row r="857" ht="12.75" customHeight="1" s="110"/>
    <row r="858" ht="12.75" customHeight="1" s="110"/>
    <row r="859" ht="12.75" customHeight="1" s="110"/>
    <row r="860" ht="12.75" customHeight="1" s="110"/>
    <row r="861" ht="12.75" customHeight="1" s="110"/>
    <row r="862" ht="12.75" customHeight="1" s="110"/>
    <row r="863" ht="12.75" customHeight="1" s="110"/>
    <row r="864" ht="12.75" customHeight="1" s="110"/>
    <row r="865" ht="12.75" customHeight="1" s="110"/>
    <row r="866" ht="12.75" customHeight="1" s="110"/>
    <row r="867" ht="12.75" customHeight="1" s="110"/>
    <row r="868" ht="12.75" customHeight="1" s="110"/>
    <row r="869" ht="12.75" customHeight="1" s="110"/>
    <row r="870" ht="12.75" customHeight="1" s="110"/>
    <row r="871" ht="12.75" customHeight="1" s="110"/>
    <row r="872" ht="12.75" customHeight="1" s="110"/>
    <row r="873" ht="12.75" customHeight="1" s="110"/>
    <row r="874" ht="12.75" customHeight="1" s="110"/>
    <row r="875" ht="12.75" customHeight="1" s="110"/>
    <row r="876" ht="12.75" customHeight="1" s="110"/>
    <row r="877" ht="12.75" customHeight="1" s="110"/>
    <row r="878" ht="12.75" customHeight="1" s="110"/>
    <row r="879" ht="12.75" customHeight="1" s="110"/>
    <row r="880" ht="12.75" customHeight="1" s="110"/>
    <row r="881" ht="12.75" customHeight="1" s="110"/>
    <row r="882" ht="12.75" customHeight="1" s="110"/>
    <row r="883" ht="12.75" customHeight="1" s="110"/>
    <row r="884" ht="12.75" customHeight="1" s="110"/>
    <row r="885" ht="12.75" customHeight="1" s="110"/>
    <row r="886" ht="12.75" customHeight="1" s="110"/>
    <row r="887" ht="12.75" customHeight="1" s="110"/>
    <row r="888" ht="12.75" customHeight="1" s="110"/>
    <row r="889" ht="12.75" customHeight="1" s="110"/>
    <row r="890" ht="12.75" customHeight="1" s="110"/>
    <row r="891" ht="12.75" customHeight="1" s="110"/>
    <row r="892" ht="12.75" customHeight="1" s="110"/>
    <row r="893" ht="12.75" customHeight="1" s="110"/>
    <row r="894" ht="12.75" customHeight="1" s="110"/>
    <row r="895" ht="12.75" customHeight="1" s="110"/>
    <row r="896" ht="12.75" customHeight="1" s="110"/>
    <row r="897" ht="12.75" customHeight="1" s="110"/>
    <row r="898" ht="12.75" customHeight="1" s="110"/>
    <row r="899" ht="12.75" customHeight="1" s="110"/>
    <row r="900" ht="12.75" customHeight="1" s="110"/>
    <row r="901" ht="12.75" customHeight="1" s="110"/>
    <row r="902" ht="12.75" customHeight="1" s="110"/>
    <row r="903" ht="12.75" customHeight="1" s="110"/>
    <row r="904" ht="12.75" customHeight="1" s="110"/>
    <row r="905" ht="12.75" customHeight="1" s="110"/>
    <row r="906" ht="12.75" customHeight="1" s="110"/>
    <row r="907" ht="12.75" customHeight="1" s="110"/>
    <row r="908" ht="12.75" customHeight="1" s="110"/>
    <row r="909" ht="12.75" customHeight="1" s="110"/>
    <row r="910" ht="12.75" customHeight="1" s="110"/>
    <row r="911" ht="12.75" customHeight="1" s="110"/>
    <row r="912" ht="12.75" customHeight="1" s="110"/>
    <row r="913" ht="12.75" customHeight="1" s="110"/>
    <row r="914" ht="12.75" customHeight="1" s="110"/>
    <row r="915" ht="12.75" customHeight="1" s="110"/>
    <row r="916" ht="12.75" customHeight="1" s="110"/>
    <row r="917" ht="12.75" customHeight="1" s="110"/>
    <row r="918" ht="12.75" customHeight="1" s="110"/>
    <row r="919" ht="12.75" customHeight="1" s="110"/>
    <row r="920" ht="12.75" customHeight="1" s="110"/>
    <row r="921" ht="12.75" customHeight="1" s="110"/>
    <row r="922" ht="12.75" customHeight="1" s="110"/>
    <row r="923" ht="12.75" customHeight="1" s="110"/>
    <row r="924" ht="12.75" customHeight="1" s="110"/>
    <row r="925" ht="12.75" customHeight="1" s="110"/>
    <row r="926" ht="12.75" customHeight="1" s="110"/>
    <row r="927" ht="12.75" customHeight="1" s="110"/>
    <row r="928" ht="12.75" customHeight="1" s="110"/>
    <row r="929" ht="12.75" customHeight="1" s="110"/>
    <row r="930" ht="12.75" customHeight="1" s="110"/>
    <row r="931" ht="12.75" customHeight="1" s="110"/>
    <row r="932" ht="12.75" customHeight="1" s="110"/>
    <row r="933" ht="12.75" customHeight="1" s="110"/>
    <row r="934" ht="12.75" customHeight="1" s="110"/>
    <row r="935" ht="12.75" customHeight="1" s="110"/>
    <row r="936" ht="12.75" customHeight="1" s="110"/>
    <row r="937" ht="12.75" customHeight="1" s="110"/>
    <row r="938" ht="12.75" customHeight="1" s="110"/>
    <row r="939" ht="12.75" customHeight="1" s="110"/>
    <row r="940" ht="12.75" customHeight="1" s="110"/>
    <row r="941" ht="12.75" customHeight="1" s="110"/>
    <row r="942" ht="12.75" customHeight="1" s="110"/>
    <row r="943" ht="12.75" customHeight="1" s="110"/>
    <row r="944" ht="12.75" customHeight="1" s="110"/>
    <row r="945" ht="12.75" customHeight="1" s="110"/>
    <row r="946" ht="12.75" customHeight="1" s="110"/>
    <row r="947" ht="12.75" customHeight="1" s="110"/>
    <row r="948" ht="12.75" customHeight="1" s="110"/>
    <row r="949" ht="12.75" customHeight="1" s="110"/>
    <row r="950" ht="12.75" customHeight="1" s="110"/>
    <row r="951" ht="12.75" customHeight="1" s="110"/>
    <row r="952" ht="12.75" customHeight="1" s="110"/>
    <row r="953" ht="12.75" customHeight="1" s="110"/>
    <row r="954" ht="12.75" customHeight="1" s="110"/>
    <row r="955" ht="12.75" customHeight="1" s="110"/>
    <row r="956" ht="12.75" customHeight="1" s="110"/>
    <row r="957" ht="12.75" customHeight="1" s="110"/>
    <row r="958" ht="12.75" customHeight="1" s="110"/>
    <row r="959" ht="12.75" customHeight="1" s="110"/>
    <row r="960" ht="12.75" customHeight="1" s="110"/>
    <row r="961" ht="12.75" customHeight="1" s="110"/>
    <row r="962" ht="12.75" customHeight="1" s="110"/>
    <row r="963" ht="12.75" customHeight="1" s="110"/>
    <row r="964" ht="12.75" customHeight="1" s="110"/>
    <row r="965" ht="12.75" customHeight="1" s="110"/>
    <row r="966" ht="12.75" customHeight="1" s="110"/>
    <row r="967" ht="12.75" customHeight="1" s="110"/>
    <row r="968" ht="12.75" customHeight="1" s="110"/>
    <row r="969" ht="12.75" customHeight="1" s="110"/>
    <row r="970" ht="12.75" customHeight="1" s="110"/>
    <row r="971" ht="12.75" customHeight="1" s="110"/>
    <row r="972" ht="12.75" customHeight="1" s="110"/>
    <row r="973" ht="12.75" customHeight="1" s="110"/>
    <row r="974" ht="12.75" customHeight="1" s="110"/>
    <row r="975" ht="12.75" customHeight="1" s="110"/>
    <row r="976" ht="12.75" customHeight="1" s="110"/>
    <row r="977" ht="12.75" customHeight="1" s="110"/>
    <row r="978" ht="12.75" customHeight="1" s="110"/>
    <row r="979" ht="12.75" customHeight="1" s="110"/>
    <row r="980" ht="12.75" customHeight="1" s="110"/>
    <row r="981" ht="12.75" customHeight="1" s="110"/>
    <row r="982" ht="12.75" customHeight="1" s="110"/>
    <row r="983" ht="12.75" customHeight="1" s="110"/>
    <row r="984" ht="12.75" customHeight="1" s="110"/>
    <row r="985" ht="12.75" customHeight="1" s="110"/>
    <row r="986" ht="12.75" customHeight="1" s="110"/>
    <row r="987" ht="12.75" customHeight="1" s="110"/>
    <row r="988" ht="12.75" customHeight="1" s="110"/>
    <row r="989" ht="12.75" customHeight="1" s="110"/>
    <row r="990" ht="12.75" customHeight="1" s="110"/>
    <row r="991" ht="12.75" customHeight="1" s="110"/>
    <row r="992" ht="12.75" customHeight="1" s="110"/>
    <row r="993" ht="12.75" customHeight="1" s="110"/>
    <row r="994" ht="12.75" customHeight="1" s="110"/>
    <row r="995" ht="12.75" customHeight="1" s="110"/>
    <row r="996" ht="12.75" customHeight="1" s="110"/>
    <row r="997" ht="12.75" customHeight="1" s="110"/>
    <row r="998" ht="12.75" customHeight="1" s="110"/>
    <row r="999" ht="12.75" customHeight="1" s="110"/>
    <row r="1000" ht="12.75" customHeight="1" s="110"/>
  </sheetData>
  <mergeCells count="18">
    <mergeCell ref="C2:E2"/>
    <mergeCell ref="C22:H24"/>
    <mergeCell ref="C33:H35"/>
    <mergeCell ref="C10:H12"/>
    <mergeCell ref="C25:H27"/>
    <mergeCell ref="C60:H62"/>
    <mergeCell ref="C42:H44"/>
    <mergeCell ref="C36:H38"/>
    <mergeCell ref="C16:H18"/>
    <mergeCell ref="C13:H15"/>
    <mergeCell ref="C54:H56"/>
    <mergeCell ref="C45:H47"/>
    <mergeCell ref="C51:H53"/>
    <mergeCell ref="C39:H41"/>
    <mergeCell ref="C57:H59"/>
    <mergeCell ref="C7:E7"/>
    <mergeCell ref="C48:H50"/>
    <mergeCell ref="C28:H30"/>
  </mergeCells>
  <pageMargins left="0" right="0.3937007874015748" top="0.5905511811023623" bottom="0.5905511811023623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José Ignacio Robles</dc:creator>
  <dcterms:created xmlns:dcterms="http://purl.org/dc/terms/" xmlns:xsi="http://www.w3.org/2001/XMLSchema-instance" xsi:type="dcterms:W3CDTF">2002-01-12T22:35:50Z</dcterms:created>
  <dcterms:modified xmlns:dcterms="http://purl.org/dc/terms/" xmlns:xsi="http://www.w3.org/2001/XMLSchema-instance" xsi:type="dcterms:W3CDTF">2026-07-21T00:47:19Z</dcterms:modified>
</cp:coreProperties>
</file>