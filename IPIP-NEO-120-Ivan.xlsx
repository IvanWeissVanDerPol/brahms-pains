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Instrucciones" sheetId="2" state="visible" r:id="rId2"/>
    <sheet xmlns:r="http://schemas.openxmlformats.org/officeDocument/2006/relationships" name="Test" sheetId="3" state="visible" r:id="rId3"/>
    <sheet xmlns:r="http://schemas.openxmlformats.org/officeDocument/2006/relationships" name="Normas" sheetId="4" state="visible" r:id="rId4"/>
    <sheet xmlns:r="http://schemas.openxmlformats.org/officeDocument/2006/relationships" name="Resultados" sheetId="5" state="visible" r:id="rId5"/>
    <sheet xmlns:r="http://schemas.openxmlformats.org/officeDocument/2006/relationships" name="Perfil" sheetId="6" state="visible" r:id="rId6"/>
    <sheet xmlns:r="http://schemas.openxmlformats.org/officeDocument/2006/relationships" name="Dominios" sheetId="7" state="visible" r:id="rId7"/>
    <sheet xmlns:r="http://schemas.openxmlformats.org/officeDocument/2006/relationships" name="Facetas" sheetId="8" state="visible" r:id="rId8"/>
    <sheet xmlns:r="http://schemas.openxmlformats.org/officeDocument/2006/relationships" name="Glosario" sheetId="9" state="visible" r:id="rId9"/>
    <sheet xmlns:r="http://schemas.openxmlformats.org/officeDocument/2006/relationships" name="Acerca" sheetId="10" state="visible" r:id="rId10"/>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Light"/>
      <b val="1"/>
      <color rgb="000B2545"/>
      <sz val="48"/>
    </font>
    <font>
      <name val="Calibri Light"/>
      <color rgb="0013315C"/>
      <sz val="18"/>
    </font>
    <font>
      <name val="Calibri"/>
      <i val="1"/>
      <color rgb="006B7280"/>
      <sz val="11"/>
    </font>
    <font>
      <name val="Calibri Light"/>
      <b val="1"/>
      <color rgb="0013315C"/>
      <sz val="14"/>
    </font>
    <font>
      <name val="Calibri"/>
      <b val="1"/>
      <color rgb="000B2545"/>
      <sz val="11"/>
    </font>
    <font>
      <name val="Calibri"/>
      <color rgb="00222222"/>
      <sz val="11"/>
    </font>
    <font>
      <name val="Calibri"/>
      <b val="1"/>
      <color rgb="00C89F2A"/>
      <sz val="14"/>
    </font>
    <font>
      <name val="Calibri"/>
      <color rgb="006B7280"/>
      <sz val="9"/>
    </font>
    <font>
      <name val="Calibri Light"/>
      <b val="1"/>
      <color rgb="000B2545"/>
      <sz val="26"/>
    </font>
    <font>
      <name val="Calibri Light"/>
      <b val="1"/>
      <color rgb="000B2545"/>
      <sz val="14"/>
    </font>
    <font>
      <name val="Calibri"/>
      <b val="1"/>
      <color rgb="00FFFFFF"/>
      <sz val="11"/>
    </font>
    <font>
      <name val="Calibri"/>
      <b val="1"/>
      <color rgb="00FFFFFF"/>
      <sz val="10"/>
    </font>
    <font>
      <name val="Calibri"/>
      <i val="1"/>
      <color rgb="006B7280"/>
      <sz val="10"/>
    </font>
    <font>
      <name val="Calibri"/>
      <b val="1"/>
      <color rgb="000B2545"/>
      <sz val="12"/>
    </font>
    <font>
      <name val="Calibri Light"/>
      <b val="1"/>
      <color rgb="000B2545"/>
      <sz val="18"/>
    </font>
    <font>
      <name val="Calibri Light"/>
      <b val="1"/>
      <color rgb="00FFFFFF"/>
      <sz val="13"/>
    </font>
    <font>
      <name val="Calibri Light"/>
      <b val="1"/>
      <color rgb="00FFFFFF"/>
      <sz val="14"/>
    </font>
    <font>
      <name val="Calibri Light"/>
      <b val="1"/>
      <color rgb="000B2545"/>
      <sz val="16"/>
    </font>
  </fonts>
  <fills count="14">
    <fill>
      <patternFill/>
    </fill>
    <fill>
      <patternFill patternType="gray125"/>
    </fill>
    <fill>
      <patternFill patternType="solid">
        <fgColor rgb="00C89F2A"/>
      </patternFill>
    </fill>
    <fill>
      <patternFill patternType="solid">
        <fgColor rgb="00FFF8CC"/>
      </patternFill>
    </fill>
    <fill>
      <patternFill patternType="solid">
        <fgColor rgb="000B2545"/>
      </patternFill>
    </fill>
    <fill>
      <patternFill patternType="solid">
        <fgColor rgb="00F5F7FA"/>
      </patternFill>
    </fill>
    <fill>
      <patternFill patternType="solid">
        <fgColor rgb="00C0392B"/>
      </patternFill>
    </fill>
    <fill>
      <patternFill patternType="solid">
        <fgColor rgb="00FFFFFF"/>
      </patternFill>
    </fill>
    <fill>
      <patternFill patternType="solid">
        <fgColor rgb="00E67E22"/>
      </patternFill>
    </fill>
    <fill>
      <patternFill patternType="solid">
        <fgColor rgb="008E44AD"/>
      </patternFill>
    </fill>
    <fill>
      <patternFill patternType="solid">
        <fgColor rgb="0027AE60"/>
      </patternFill>
    </fill>
    <fill>
      <patternFill patternType="solid">
        <fgColor rgb="002E86C1"/>
      </patternFill>
    </fill>
    <fill>
      <patternFill patternType="solid">
        <fgColor rgb="00EEF4ED"/>
      </patternFill>
    </fill>
    <fill>
      <patternFill patternType="solid">
        <fgColor rgb="0013315C"/>
      </patternFill>
    </fill>
  </fills>
  <borders count="2">
    <border>
      <left/>
      <right/>
      <top/>
      <bottom/>
      <diagonal/>
    </border>
    <border>
      <left style="thin">
        <color rgb="008DA9C4"/>
      </left>
      <right style="thin">
        <color rgb="008DA9C4"/>
      </right>
      <top style="thin">
        <color rgb="008DA9C4"/>
      </top>
      <bottom style="thin">
        <color rgb="008DA9C4"/>
      </bottom>
    </border>
  </borders>
  <cellStyleXfs count="1">
    <xf numFmtId="0" fontId="0" fillId="0" borderId="0"/>
  </cellStyleXfs>
  <cellXfs count="6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2"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6" fillId="0" borderId="0" applyAlignment="1" pivotButton="0" quotePrefix="0" xfId="0">
      <alignment horizontal="left" vertical="top" wrapText="1"/>
    </xf>
    <xf numFmtId="0" fontId="5" fillId="0" borderId="0" pivotButton="0" quotePrefix="0" xfId="0"/>
    <xf numFmtId="0" fontId="0" fillId="3" borderId="1" pivotButton="0" quotePrefix="0" xfId="0"/>
    <xf numFmtId="0" fontId="10" fillId="0" borderId="0" pivotButton="0" quotePrefix="0" xfId="0"/>
    <xf numFmtId="0" fontId="8" fillId="0" borderId="0" pivotButton="0" quotePrefix="0" xfId="0"/>
    <xf numFmtId="0" fontId="11"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5" borderId="1" applyAlignment="1" pivotButton="0" quotePrefix="0" xfId="0">
      <alignment horizontal="left" vertical="center" wrapText="1"/>
    </xf>
    <xf numFmtId="0" fontId="6" fillId="5" borderId="1" applyAlignment="1" pivotButton="0" quotePrefix="0" xfId="0">
      <alignment horizontal="left" vertical="center" wrapText="1"/>
    </xf>
    <xf numFmtId="0" fontId="14"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7" borderId="1" applyAlignment="1" pivotButton="0" quotePrefix="0" xfId="0">
      <alignment horizontal="left" vertical="center" wrapText="1"/>
    </xf>
    <xf numFmtId="0" fontId="6" fillId="7" borderId="1" applyAlignment="1" pivotButton="0" quotePrefix="0" xfId="0">
      <alignment horizontal="left" vertical="center" wrapText="1"/>
    </xf>
    <xf numFmtId="0" fontId="12"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12" fillId="11" borderId="1" applyAlignment="1" pivotButton="0" quotePrefix="0" xfId="0">
      <alignment horizontal="center" vertical="center" wrapText="1"/>
    </xf>
    <xf numFmtId="0" fontId="15" fillId="0" borderId="0" pivotButton="0" quotePrefix="0" xfId="0"/>
    <xf numFmtId="0" fontId="13" fillId="0" borderId="0" pivotButton="0" quotePrefix="0" xfId="0"/>
    <xf numFmtId="0" fontId="6" fillId="5" borderId="1" applyAlignment="1" pivotButton="0" quotePrefix="0" xfId="0">
      <alignment horizontal="center" vertical="center" wrapText="1"/>
    </xf>
    <xf numFmtId="0" fontId="6" fillId="7"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2" borderId="1" applyAlignment="1" pivotButton="0" quotePrefix="0" xfId="0">
      <alignment horizontal="center" vertical="center" wrapText="1"/>
    </xf>
    <xf numFmtId="0" fontId="5" fillId="12" borderId="0" pivotButton="0" quotePrefix="0" xfId="0"/>
    <xf numFmtId="0" fontId="16" fillId="13" borderId="0" applyAlignment="1" pivotButton="0" quotePrefix="0" xfId="0">
      <alignment horizontal="center" vertical="center" wrapText="1"/>
    </xf>
    <xf numFmtId="0" fontId="11" fillId="6" borderId="1" applyAlignment="1" pivotButton="0" quotePrefix="0" xfId="0">
      <alignment horizontal="center" vertical="center" wrapText="1"/>
    </xf>
    <xf numFmtId="0" fontId="5" fillId="12" borderId="1" applyAlignment="1" pivotButton="0" quotePrefix="0" xfId="0">
      <alignment horizontal="left" vertical="center" wrapText="1"/>
    </xf>
    <xf numFmtId="0" fontId="11"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11" borderId="1" applyAlignment="1" pivotButton="0" quotePrefix="0" xfId="0">
      <alignment horizontal="center" vertical="center" wrapText="1"/>
    </xf>
    <xf numFmtId="0" fontId="11" fillId="4" borderId="0" applyAlignment="1" pivotButton="0" quotePrefix="0" xfId="0">
      <alignment horizontal="center" vertical="center" wrapText="1"/>
    </xf>
    <xf numFmtId="0" fontId="11" fillId="6" borderId="1" applyAlignment="1" pivotButton="0" quotePrefix="0" xfId="0">
      <alignment horizontal="left" vertical="center" wrapText="1"/>
    </xf>
    <xf numFmtId="0" fontId="5" fillId="0" borderId="1" applyAlignment="1" pivotButton="0" quotePrefix="0" xfId="0">
      <alignment horizontal="center" vertical="center" wrapText="1"/>
    </xf>
    <xf numFmtId="0" fontId="11" fillId="8" borderId="1" applyAlignment="1" pivotButton="0" quotePrefix="0" xfId="0">
      <alignment horizontal="left" vertical="center" wrapText="1"/>
    </xf>
    <xf numFmtId="0" fontId="11" fillId="9" borderId="1" applyAlignment="1" pivotButton="0" quotePrefix="0" xfId="0">
      <alignment horizontal="left" vertical="center" wrapText="1"/>
    </xf>
    <xf numFmtId="0" fontId="11" fillId="10" borderId="1" applyAlignment="1" pivotButton="0" quotePrefix="0" xfId="0">
      <alignment horizontal="left" vertical="center" wrapText="1"/>
    </xf>
    <xf numFmtId="0" fontId="11" fillId="11" borderId="1" applyAlignment="1" pivotButton="0" quotePrefix="0" xfId="0">
      <alignment horizontal="left" vertical="center" wrapText="1"/>
    </xf>
    <xf numFmtId="0" fontId="12" fillId="6" borderId="1" applyAlignment="1" pivotButton="0" quotePrefix="0" xfId="0">
      <alignment horizontal="left" vertical="center" wrapText="1"/>
    </xf>
    <xf numFmtId="0" fontId="12" fillId="8" borderId="1" applyAlignment="1" pivotButton="0" quotePrefix="0" xfId="0">
      <alignment horizontal="left" vertical="center" wrapText="1"/>
    </xf>
    <xf numFmtId="0" fontId="12" fillId="9" borderId="1" applyAlignment="1" pivotButton="0" quotePrefix="0" xfId="0">
      <alignment horizontal="left" vertical="center" wrapText="1"/>
    </xf>
    <xf numFmtId="0" fontId="12" fillId="10" borderId="1" applyAlignment="1" pivotButton="0" quotePrefix="0" xfId="0">
      <alignment horizontal="left" vertical="center" wrapText="1"/>
    </xf>
    <xf numFmtId="0" fontId="12" fillId="11" borderId="1" applyAlignment="1" pivotButton="0" quotePrefix="0" xfId="0">
      <alignment horizontal="left" vertical="center" wrapText="1"/>
    </xf>
    <xf numFmtId="0" fontId="17" fillId="6" borderId="1" applyAlignment="1" pivotButton="0" quotePrefix="0" xfId="0">
      <alignment horizontal="center" vertical="center" wrapText="1"/>
    </xf>
    <xf numFmtId="0" fontId="5" fillId="0" borderId="1" applyAlignment="1" pivotButton="0" quotePrefix="0" xfId="0">
      <alignment horizontal="left" vertical="center" wrapText="1"/>
    </xf>
    <xf numFmtId="0" fontId="18" fillId="0" borderId="1" applyAlignment="1" pivotButton="0" quotePrefix="0" xfId="0">
      <alignment horizontal="center" vertical="center" wrapText="1"/>
    </xf>
    <xf numFmtId="0" fontId="6" fillId="0" borderId="1" applyAlignment="1" pivotButton="0" quotePrefix="0" xfId="0">
      <alignment horizontal="left" vertical="top" wrapText="1"/>
    </xf>
    <xf numFmtId="0" fontId="17"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7" fillId="10" borderId="1" applyAlignment="1" pivotButton="0" quotePrefix="0" xfId="0">
      <alignment horizontal="center" vertical="center" wrapText="1"/>
    </xf>
    <xf numFmtId="0" fontId="17" fillId="11" borderId="1" applyAlignment="1" pivotButton="0" quotePrefix="0" xfId="0">
      <alignment horizontal="center" vertical="center" wrapText="1"/>
    </xf>
    <xf numFmtId="0" fontId="6" fillId="0" borderId="1" applyAlignment="1" pivotButton="0" quotePrefix="0" xfId="0">
      <alignment horizontal="left" vertical="center"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5" fillId="0" borderId="1" applyAlignment="1" pivotButton="0" quotePrefix="0" xfId="0">
      <alignment horizontal="left" vertical="top" wrapText="1"/>
    </xf>
  </cellXfs>
  <cellStyles count="1">
    <cellStyle name="Normal" xfId="0" builtinId="0" hidden="0"/>
  </cellStyles>
  <dxfs count="6">
    <dxf>
      <fill>
        <patternFill patternType="solid">
          <fgColor rgb="00FFF8CC"/>
        </patternFill>
      </fill>
    </dxf>
    <dxf>
      <fill>
        <patternFill patternType="solid">
          <fgColor rgb="00F8CBAD"/>
        </patternFill>
      </fill>
    </dxf>
    <dxf>
      <fill>
        <patternFill patternType="solid">
          <fgColor rgb="00FCE4D6"/>
        </patternFill>
      </fill>
    </dxf>
    <dxf>
      <fill>
        <patternFill patternType="solid">
          <fgColor rgb="00C6E0B4"/>
        </patternFill>
      </fill>
    </dxf>
    <dxf>
      <fill>
        <patternFill patternType="solid">
          <fgColor rgb="00BDD7EE"/>
        </patternFill>
      </fill>
    </dxf>
    <dxf>
      <fill>
        <patternFill patternType="solid">
          <fgColor rgb="009DC3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1"/>
  <chart>
    <title>
      <tx>
        <rich>
          <a:bodyPr xmlns:a="http://schemas.openxmlformats.org/drawingml/2006/main"/>
          <a:p xmlns:a="http://schemas.openxmlformats.org/drawingml/2006/main">
            <a:pPr>
              <a:defRPr/>
            </a:pPr>
            <a:r>
              <a:t>Dominios · Puntuaciones T</a:t>
            </a:r>
          </a:p>
        </rich>
      </tx>
    </title>
    <plotArea>
      <barChart>
        <barDir val="bar"/>
        <grouping val="clustered"/>
        <ser>
          <idx val="0"/>
          <order val="0"/>
          <tx>
            <strRef>
              <f>'Perfil'!B5</f>
            </strRef>
          </tx>
          <spPr>
            <a:ln xmlns:a="http://schemas.openxmlformats.org/drawingml/2006/main">
              <a:prstDash val="solid"/>
            </a:ln>
          </spPr>
          <cat>
            <numRef>
              <f>'Perfil'!$A$6:$A$10</f>
            </numRef>
          </cat>
          <val>
            <numRef>
              <f>'Perfil'!$B$6:$B$10</f>
            </numRef>
          </val>
        </ser>
        <dLbls>
          <showVal val="1"/>
        </dLbls>
        <gapWidth val="150"/>
        <axId val="10"/>
        <axId val="100"/>
      </barChart>
      <catAx>
        <axId val="10"/>
        <scaling>
          <orientation val="minMax"/>
          <max val="80"/>
          <min val="20"/>
        </scaling>
        <axPos val="l"/>
        <title>
          <tx>
            <rich>
              <a:bodyPr xmlns:a="http://schemas.openxmlformats.org/drawingml/2006/main"/>
              <a:p xmlns:a="http://schemas.openxmlformats.org/drawingml/2006/main">
                <a:pPr>
                  <a:defRPr/>
                </a:pPr>
                <a:r>
                  <a:t>T (50 ± 10)</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Dominio</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Facetas · Puntuaciones T</a:t>
            </a:r>
          </a:p>
        </rich>
      </tx>
    </title>
    <plotArea>
      <barChart>
        <barDir val="bar"/>
        <grouping val="clustered"/>
        <ser>
          <idx val="0"/>
          <order val="0"/>
          <tx>
            <strRef>
              <f>'Perfil'!B24</f>
            </strRef>
          </tx>
          <spPr>
            <a:ln xmlns:a="http://schemas.openxmlformats.org/drawingml/2006/main">
              <a:prstDash val="solid"/>
            </a:ln>
          </spPr>
          <cat>
            <numRef>
              <f>'Perfil'!$A$25:$A$54</f>
            </numRef>
          </cat>
          <val>
            <numRef>
              <f>'Perfil'!$B$25:$B$54</f>
            </numRef>
          </val>
        </ser>
        <gapWidth val="150"/>
        <axId val="10"/>
        <axId val="100"/>
      </barChart>
      <catAx>
        <axId val="10"/>
        <scaling>
          <orientation val="minMax"/>
          <max val="80"/>
          <min val="20"/>
        </scaling>
        <axPos val="l"/>
        <title>
          <tx>
            <rich>
              <a:bodyPr xmlns:a="http://schemas.openxmlformats.org/drawingml/2006/main"/>
              <a:p xmlns:a="http://schemas.openxmlformats.org/drawingml/2006/main">
                <a:pPr>
                  <a:defRPr/>
                </a:pPr>
                <a:r>
                  <a:t>T (50 ± 10)</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Faceta</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3</col>
      <colOff>0</colOff>
      <row>2</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21</row>
      <rowOff>0</rowOff>
    </from>
    <ext cx="7920000" cy="79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H26"/>
  <sheetViews>
    <sheetView showGridLines="0" workbookViewId="0">
      <selection activeCell="A1" sqref="A1"/>
    </sheetView>
  </sheetViews>
  <sheetFormatPr baseColWidth="8" defaultRowHeight="15"/>
  <cols>
    <col width="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2">
      <c r="B2" s="1" t="inlineStr">
        <is>
          <t>IPIP-NEO-120</t>
        </is>
      </c>
    </row>
    <row r="3"/>
    <row r="4"/>
    <row r="5">
      <c r="B5" s="2" t="inlineStr">
        <is>
          <t>Inventario de Personalidad — Cinco Grandes (Big Five)</t>
        </is>
      </c>
    </row>
    <row r="6"/>
    <row r="7">
      <c r="B7" s="3" t="inlineStr">
        <is>
          <t>Versión bilingüe · autoscoring · dominio público</t>
        </is>
      </c>
    </row>
    <row r="9" ht="4" customHeight="1">
      <c r="B9" s="4" t="n"/>
      <c r="C9" s="4" t="n"/>
      <c r="D9" s="4" t="n"/>
      <c r="E9" s="4" t="n"/>
      <c r="F9" s="4" t="n"/>
      <c r="G9" s="4" t="n"/>
      <c r="H9" s="4" t="n"/>
    </row>
    <row r="11">
      <c r="B11" s="5" t="inlineStr">
        <is>
          <t>Estructura</t>
        </is>
      </c>
    </row>
    <row r="12">
      <c r="B12" s="6" t="inlineStr">
        <is>
          <t>120 ítems</t>
        </is>
      </c>
      <c r="C12" s="7" t="inlineStr">
        <is>
          <t>Escala Likert de 1 a 5 (~15 minutos)</t>
        </is>
      </c>
    </row>
    <row r="13">
      <c r="B13" s="6" t="inlineStr">
        <is>
          <t>5 dominios</t>
        </is>
      </c>
      <c r="C13" s="7" t="inlineStr">
        <is>
          <t>Neuroticismo, Extraversión, Apertura, Amabilidad, Responsabilidad</t>
        </is>
      </c>
    </row>
    <row r="14">
      <c r="B14" s="6" t="inlineStr">
        <is>
          <t>30 facetas</t>
        </is>
      </c>
      <c r="C14" s="7" t="inlineStr">
        <is>
          <t>6 facetas por dominio · 4 ítems por faceta</t>
        </is>
      </c>
    </row>
    <row r="15">
      <c r="B15" s="6" t="inlineStr">
        <is>
          <t>Normas</t>
        </is>
      </c>
      <c r="C15" s="7" t="inlineStr">
        <is>
          <t>Sexo (M/F) × 4 rangos de edad (10-20, 21-40, 41-60, 61-95)</t>
        </is>
      </c>
    </row>
    <row r="16">
      <c r="B16" s="6" t="inlineStr">
        <is>
          <t>Puntuaciones T</t>
        </is>
      </c>
      <c r="C16" s="7" t="inlineStr">
        <is>
          <t>Media 50 · Desviación estándar 10</t>
        </is>
      </c>
    </row>
    <row r="18">
      <c r="B18" s="5" t="inlineStr">
        <is>
          <t>Empezar</t>
        </is>
      </c>
    </row>
    <row r="19">
      <c r="B19" s="8" t="inlineStr">
        <is>
          <t>1</t>
        </is>
      </c>
      <c r="C19" s="7" t="inlineStr">
        <is>
          <t>Abre la hoja "Test", ingresa Sexo y Edad en las celdas amarillas.</t>
        </is>
      </c>
    </row>
    <row r="20">
      <c r="B20" s="8" t="inlineStr">
        <is>
          <t>2</t>
        </is>
      </c>
      <c r="C20" s="7" t="inlineStr">
        <is>
          <t>Responde cada ítem con un número del 1 al 5 en la columna "Respuesta".</t>
        </is>
      </c>
    </row>
    <row r="21">
      <c r="B21" s="8" t="inlineStr">
        <is>
          <t>3</t>
        </is>
      </c>
      <c r="C21" s="7" t="inlineStr">
        <is>
          <t>Sigue tu progreso en el contador arriba de la hoja "Test".</t>
        </is>
      </c>
    </row>
    <row r="22">
      <c r="B22" s="8" t="inlineStr">
        <is>
          <t>4</t>
        </is>
      </c>
      <c r="C22" s="7" t="inlineStr">
        <is>
          <t>Al terminar, revisa "Resultados", "Perfil", "Dominios" y "Facetas".</t>
        </is>
      </c>
    </row>
    <row r="25">
      <c r="B25" s="9" t="inlineStr">
        <is>
          <t>Ítems IPIP (dominio público) · Selección Johnson (2014) · Traducción ES no oficial</t>
        </is>
      </c>
    </row>
    <row r="26">
      <c r="B26" s="9" t="inlineStr">
        <is>
          <t>Instrumento autoinformado — NO reemplaza evaluación clínica profesional.</t>
        </is>
      </c>
    </row>
  </sheetData>
  <mergeCells count="16">
    <mergeCell ref="C20:H20"/>
    <mergeCell ref="C16:H16"/>
    <mergeCell ref="C19:H19"/>
    <mergeCell ref="B26:H26"/>
    <mergeCell ref="B18:H18"/>
    <mergeCell ref="C14:H14"/>
    <mergeCell ref="C13:H13"/>
    <mergeCell ref="C22:H22"/>
    <mergeCell ref="C12:H12"/>
    <mergeCell ref="B7:H7"/>
    <mergeCell ref="B11:H11"/>
    <mergeCell ref="B2:H4"/>
    <mergeCell ref="B25:H25"/>
    <mergeCell ref="C21:H21"/>
    <mergeCell ref="B5:H6"/>
    <mergeCell ref="C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40"/>
  <sheetViews>
    <sheetView showGridLines="0" workbookViewId="0">
      <selection activeCell="A1" sqref="A1"/>
    </sheetView>
  </sheetViews>
  <sheetFormatPr baseColWidth="8" defaultRowHeight="15"/>
  <cols>
    <col width="4" customWidth="1" min="1" max="1"/>
    <col width="110" customWidth="1" min="2" max="2"/>
  </cols>
  <sheetData>
    <row r="2" ht="34" customHeight="1">
      <c r="B2" s="10" t="inlineStr">
        <is>
          <t>Instrucciones</t>
        </is>
      </c>
    </row>
    <row r="4" ht="22" customHeight="1">
      <c r="B4" s="11" t="inlineStr">
        <is>
          <t>¿Qué es este cuestionario?</t>
        </is>
      </c>
    </row>
    <row r="5">
      <c r="B5" s="12" t="inlineStr">
        <is>
          <t>IPIP-NEO-120 es un inventario de personalidad de 120 ítems basado en el modelo de los Cinco Grandes.</t>
        </is>
      </c>
    </row>
    <row r="6">
      <c r="B6" s="12" t="inlineStr">
        <is>
          <t>Mide 5 dominios (Neuroticismo, Extraversión, Apertura, Amabilidad, Responsabilidad),</t>
        </is>
      </c>
    </row>
    <row r="7">
      <c r="B7" s="12" t="inlineStr">
        <is>
          <t>cada uno con 6 facetas = 30 facetas × 4 ítems = 120 ítems totales. Duración estimada: ~15 minutos.</t>
        </is>
      </c>
    </row>
    <row r="8">
      <c r="B8" s="12" t="inlineStr">
        <is>
          <t>Autor: John A. Johnson (2014). Ítems del International Personality Item Pool (IPIP, ipip.ori.org).</t>
        </is>
      </c>
    </row>
    <row r="10" ht="22" customHeight="1">
      <c r="B10" s="11" t="inlineStr">
        <is>
          <t>Cómo responder</t>
        </is>
      </c>
    </row>
    <row r="11">
      <c r="B11" s="12" t="inlineStr">
        <is>
          <t>1. Ve a la hoja "Test".</t>
        </is>
      </c>
    </row>
    <row r="12">
      <c r="B12" s="12" t="inlineStr">
        <is>
          <t>2. Ingresa tu Sexo (M/F) y Edad en las celdas amarillas.</t>
        </is>
      </c>
    </row>
    <row r="13">
      <c r="B13" s="12" t="inlineStr">
        <is>
          <t>3. Para cada ítem, escribe un número del 1 al 5 en la columna "Respuesta":</t>
        </is>
      </c>
    </row>
    <row r="14">
      <c r="B14" s="12" t="inlineStr">
        <is>
          <t xml:space="preserve">     1 = Muy inexacto            2 = Moderadamente inexacto</t>
        </is>
      </c>
    </row>
    <row r="15">
      <c r="B15" s="12" t="inlineStr">
        <is>
          <t xml:space="preserve">     3 = Ni inexacto ni exacto   4 = Moderadamente exacto</t>
        </is>
      </c>
    </row>
    <row r="16">
      <c r="B16" s="12" t="inlineStr">
        <is>
          <t xml:space="preserve">     5 = Muy exacto</t>
        </is>
      </c>
    </row>
    <row r="17">
      <c r="B17" s="12" t="inlineStr">
        <is>
          <t>4. Responde sin pensar demasiado — la primera reacción suele ser la más honesta.</t>
        </is>
      </c>
    </row>
    <row r="18">
      <c r="B18" s="12" t="inlineStr">
        <is>
          <t>5. Compárate contigo mismo, no con lo que "deberías" ser.</t>
        </is>
      </c>
    </row>
    <row r="19">
      <c r="B19" s="12" t="inlineStr">
        <is>
          <t>6. Al completar los 120 ítems, revisa las hojas Resultados, Perfil, Dominios y Facetas.</t>
        </is>
      </c>
    </row>
    <row r="21" ht="22" customHeight="1">
      <c r="B21" s="11" t="inlineStr">
        <is>
          <t>Cómo se calculan las puntuaciones</t>
        </is>
      </c>
    </row>
    <row r="22">
      <c r="B22" s="12" t="inlineStr">
        <is>
          <t>Cada ítem tiene una "clave" F (forward) o R (reverse). En ítems R, el sistema hace 6 − respuesta.</t>
        </is>
      </c>
    </row>
    <row r="23">
      <c r="B23" s="12" t="inlineStr">
        <is>
          <t>La puntuación bruta de una faceta = suma de los 4 ítems puntuados de esa faceta (rango 4–20).</t>
        </is>
      </c>
    </row>
    <row r="24">
      <c r="B24" s="12" t="inlineStr">
        <is>
          <t>La puntuación bruta de un dominio = suma de los 24 ítems del dominio (rango 24–120).</t>
        </is>
      </c>
    </row>
    <row r="25">
      <c r="B25" s="12" t="inlineStr">
        <is>
          <t>La puntuación T = 50 + 10 × (bruto − media_grupo) / DE_grupo, redondeada a entero.</t>
        </is>
      </c>
    </row>
    <row r="26">
      <c r="B26" s="12" t="inlineStr">
        <is>
          <t>Media y desviación estándar dependen de tu Sexo y Edad — se actualizan automáticamente.</t>
        </is>
      </c>
    </row>
    <row r="28" ht="22" customHeight="1">
      <c r="B28" s="11" t="inlineStr">
        <is>
          <t>Interpretación de la puntuación T</t>
        </is>
      </c>
    </row>
    <row r="29">
      <c r="B29" s="12" t="inlineStr">
        <is>
          <t xml:space="preserve">     T &lt; 35   → Muy bajo</t>
        </is>
      </c>
    </row>
    <row r="30">
      <c r="B30" s="12" t="inlineStr">
        <is>
          <t xml:space="preserve">     35–44   → Bajo</t>
        </is>
      </c>
    </row>
    <row r="31">
      <c r="B31" s="12" t="inlineStr">
        <is>
          <t xml:space="preserve">     45–55   → Promedio</t>
        </is>
      </c>
    </row>
    <row r="32">
      <c r="B32" s="12" t="inlineStr">
        <is>
          <t xml:space="preserve">     56–65   → Alto</t>
        </is>
      </c>
    </row>
    <row r="33">
      <c r="B33" s="12" t="inlineStr">
        <is>
          <t xml:space="preserve">     T &gt; 65   → Muy alto</t>
        </is>
      </c>
    </row>
    <row r="34">
      <c r="B34" s="12" t="inlineStr">
        <is>
          <t>Nota: "alto" y "bajo" son descriptivos, no valorativos. Todo perfil tiene fortalezas y costos.</t>
        </is>
      </c>
    </row>
    <row r="36" ht="22" customHeight="1">
      <c r="B36" s="11" t="inlineStr">
        <is>
          <t>Limitaciones importantes</t>
        </is>
      </c>
    </row>
    <row r="37">
      <c r="B37" s="12" t="inlineStr">
        <is>
          <t>La traducción al español es NO OFICIAL — hecha para uso personal. El texto en inglés es el original</t>
        </is>
      </c>
    </row>
    <row r="38">
      <c r="B38" s="12" t="inlineStr">
        <is>
          <t>autoritativo. Si tienes duda, responde según la versión en inglés (que aparece siempre al lado).</t>
        </is>
      </c>
    </row>
    <row r="39">
      <c r="B39" s="12" t="inlineStr">
        <is>
          <t>Este instrumento es autoinformado y no reemplaza una evaluación clínica profesional.</t>
        </is>
      </c>
    </row>
    <row r="40">
      <c r="B40" s="12" t="inlineStr">
        <is>
          <t>Los resultados reflejan una fotografía puntual: pueden variar según ánimo, contexto y momento vital.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showGridLines="0" workbookViewId="0">
      <pane ySplit="5" topLeftCell="A6" activePane="bottomLeft" state="frozen"/>
      <selection pane="bottomLeft" activeCell="A1" sqref="A1"/>
    </sheetView>
  </sheetViews>
  <sheetFormatPr baseColWidth="8" defaultRowHeight="15"/>
  <cols>
    <col width="5" customWidth="1" min="1" max="1"/>
    <col width="8" customWidth="1" min="2" max="2"/>
    <col width="52" customWidth="1" min="3" max="3"/>
    <col width="52" customWidth="1" min="4" max="4"/>
    <col width="12" customWidth="1" min="5" max="5"/>
    <col width="7" customWidth="1" min="6" max="6"/>
    <col width="9" customWidth="1" min="7" max="7"/>
  </cols>
  <sheetData>
    <row r="1">
      <c r="A1" s="13" t="inlineStr">
        <is>
          <t>Nombre / Name:</t>
        </is>
      </c>
      <c r="B1" s="14" t="inlineStr">
        <is>
          <t>Ivan</t>
        </is>
      </c>
      <c r="C1" s="15">
        <f>("Respondidas: " &amp; COUNT(E6:E125) &amp; " / 120")</f>
        <v/>
      </c>
    </row>
    <row r="2">
      <c r="A2" s="13" t="inlineStr">
        <is>
          <t>Sexo (M/F):</t>
        </is>
      </c>
      <c r="B2" s="14" t="inlineStr">
        <is>
          <t>M</t>
        </is>
      </c>
      <c r="C2" s="13" t="inlineStr">
        <is>
          <t>Escala Likert:</t>
        </is>
      </c>
      <c r="D2" s="16" t="inlineStr">
        <is>
          <t>1 · Muy inexacto</t>
        </is>
      </c>
      <c r="E2" s="16" t="inlineStr">
        <is>
          <t>2 · Moderadamente inexacto</t>
        </is>
      </c>
      <c r="F2" s="16" t="inlineStr">
        <is>
          <t>3 · Ni inexacto ni exacto</t>
        </is>
      </c>
    </row>
    <row r="3">
      <c r="A3" s="13" t="inlineStr">
        <is>
          <t>Edad / Age:</t>
        </is>
      </c>
      <c r="B3" s="14" t="n">
        <v>33</v>
      </c>
      <c r="D3" s="16" t="inlineStr">
        <is>
          <t>4 · Moderadamente exacto</t>
        </is>
      </c>
      <c r="E3" s="16" t="inlineStr">
        <is>
          <t>5 · Muy exacto</t>
        </is>
      </c>
    </row>
    <row r="4">
      <c r="A4" s="13" t="inlineStr">
        <is>
          <t>Fecha / Date:</t>
        </is>
      </c>
      <c r="B4" s="14" t="inlineStr"/>
    </row>
    <row r="5" ht="28" customHeight="1">
      <c r="A5" s="17" t="inlineStr">
        <is>
          <t>#</t>
        </is>
      </c>
      <c r="B5" s="17" t="inlineStr">
        <is>
          <t>Faceta</t>
        </is>
      </c>
      <c r="C5" s="17" t="inlineStr">
        <is>
          <t>English (original)</t>
        </is>
      </c>
      <c r="D5" s="17" t="inlineStr">
        <is>
          <t>Español (no oficial)</t>
        </is>
      </c>
      <c r="E5" s="17" t="inlineStr">
        <is>
          <t>Respuesta</t>
        </is>
      </c>
      <c r="F5" s="17" t="inlineStr">
        <is>
          <t>Clave</t>
        </is>
      </c>
      <c r="G5" s="17" t="inlineStr">
        <is>
          <t>Puntuado</t>
        </is>
      </c>
    </row>
    <row r="6">
      <c r="A6" s="18" t="n">
        <v>1</v>
      </c>
      <c r="B6" s="19" t="inlineStr">
        <is>
          <t>N1</t>
        </is>
      </c>
      <c r="C6" s="20" t="inlineStr">
        <is>
          <t>Worry about things</t>
        </is>
      </c>
      <c r="D6" s="21" t="inlineStr">
        <is>
          <t>Me preocupo por las cosas.</t>
        </is>
      </c>
      <c r="E6" s="22" t="n"/>
      <c r="F6" s="18" t="inlineStr">
        <is>
          <t>F</t>
        </is>
      </c>
      <c r="G6" s="18">
        <f>IF(E6="","",IF(F6="F",E6,6-E6))</f>
        <v/>
      </c>
    </row>
    <row r="7">
      <c r="A7" s="23" t="n">
        <v>2</v>
      </c>
      <c r="B7" s="24" t="inlineStr">
        <is>
          <t>E1</t>
        </is>
      </c>
      <c r="C7" s="25" t="inlineStr">
        <is>
          <t>Make friends easily</t>
        </is>
      </c>
      <c r="D7" s="26" t="inlineStr">
        <is>
          <t>Hago amigos con facilidad.</t>
        </is>
      </c>
      <c r="E7" s="22" t="n"/>
      <c r="F7" s="23" t="inlineStr">
        <is>
          <t>F</t>
        </is>
      </c>
      <c r="G7" s="23">
        <f>IF(E7="","",IF(F7="F",E7,6-E7))</f>
        <v/>
      </c>
    </row>
    <row r="8">
      <c r="A8" s="18" t="n">
        <v>3</v>
      </c>
      <c r="B8" s="27" t="inlineStr">
        <is>
          <t>O1</t>
        </is>
      </c>
      <c r="C8" s="20" t="inlineStr">
        <is>
          <t>Have a vivid imagination</t>
        </is>
      </c>
      <c r="D8" s="21" t="inlineStr">
        <is>
          <t>Tengo una imaginación vívida.</t>
        </is>
      </c>
      <c r="E8" s="22" t="n"/>
      <c r="F8" s="18" t="inlineStr">
        <is>
          <t>F</t>
        </is>
      </c>
      <c r="G8" s="18">
        <f>IF(E8="","",IF(F8="F",E8,6-E8))</f>
        <v/>
      </c>
    </row>
    <row r="9">
      <c r="A9" s="23" t="n">
        <v>4</v>
      </c>
      <c r="B9" s="28" t="inlineStr">
        <is>
          <t>A1</t>
        </is>
      </c>
      <c r="C9" s="25" t="inlineStr">
        <is>
          <t>Trust others</t>
        </is>
      </c>
      <c r="D9" s="26" t="inlineStr">
        <is>
          <t>Confío en los demás.</t>
        </is>
      </c>
      <c r="E9" s="22" t="n"/>
      <c r="F9" s="23" t="inlineStr">
        <is>
          <t>F</t>
        </is>
      </c>
      <c r="G9" s="23">
        <f>IF(E9="","",IF(F9="F",E9,6-E9))</f>
        <v/>
      </c>
    </row>
    <row r="10">
      <c r="A10" s="18" t="n">
        <v>5</v>
      </c>
      <c r="B10" s="29" t="inlineStr">
        <is>
          <t>C1</t>
        </is>
      </c>
      <c r="C10" s="20" t="inlineStr">
        <is>
          <t>Complete tasks successfully</t>
        </is>
      </c>
      <c r="D10" s="21" t="inlineStr">
        <is>
          <t>Completo las tareas con éxito.</t>
        </is>
      </c>
      <c r="E10" s="22" t="n"/>
      <c r="F10" s="18" t="inlineStr">
        <is>
          <t>F</t>
        </is>
      </c>
      <c r="G10" s="18">
        <f>IF(E10="","",IF(F10="F",E10,6-E10))</f>
        <v/>
      </c>
    </row>
    <row r="11">
      <c r="A11" s="23" t="n">
        <v>6</v>
      </c>
      <c r="B11" s="19" t="inlineStr">
        <is>
          <t>N2</t>
        </is>
      </c>
      <c r="C11" s="25" t="inlineStr">
        <is>
          <t>Get angry easily</t>
        </is>
      </c>
      <c r="D11" s="26" t="inlineStr">
        <is>
          <t>Me enojo con facilidad.</t>
        </is>
      </c>
      <c r="E11" s="22" t="n"/>
      <c r="F11" s="23" t="inlineStr">
        <is>
          <t>F</t>
        </is>
      </c>
      <c r="G11" s="23">
        <f>IF(E11="","",IF(F11="F",E11,6-E11))</f>
        <v/>
      </c>
    </row>
    <row r="12">
      <c r="A12" s="18" t="n">
        <v>7</v>
      </c>
      <c r="B12" s="24" t="inlineStr">
        <is>
          <t>E2</t>
        </is>
      </c>
      <c r="C12" s="20" t="inlineStr">
        <is>
          <t>Love large parties</t>
        </is>
      </c>
      <c r="D12" s="21" t="inlineStr">
        <is>
          <t>Me encantan las fiestas grandes.</t>
        </is>
      </c>
      <c r="E12" s="22" t="n"/>
      <c r="F12" s="18" t="inlineStr">
        <is>
          <t>F</t>
        </is>
      </c>
      <c r="G12" s="18">
        <f>IF(E12="","",IF(F12="F",E12,6-E12))</f>
        <v/>
      </c>
    </row>
    <row r="13">
      <c r="A13" s="23" t="n">
        <v>8</v>
      </c>
      <c r="B13" s="27" t="inlineStr">
        <is>
          <t>O2</t>
        </is>
      </c>
      <c r="C13" s="25" t="inlineStr">
        <is>
          <t>Believe in the importance of art</t>
        </is>
      </c>
      <c r="D13" s="26" t="inlineStr">
        <is>
          <t>Creo en la importancia del arte.</t>
        </is>
      </c>
      <c r="E13" s="22" t="n"/>
      <c r="F13" s="23" t="inlineStr">
        <is>
          <t>F</t>
        </is>
      </c>
      <c r="G13" s="23">
        <f>IF(E13="","",IF(F13="F",E13,6-E13))</f>
        <v/>
      </c>
    </row>
    <row r="14">
      <c r="A14" s="18" t="n">
        <v>9</v>
      </c>
      <c r="B14" s="28" t="inlineStr">
        <is>
          <t>A2</t>
        </is>
      </c>
      <c r="C14" s="20" t="inlineStr">
        <is>
          <t>Use others for my own ends</t>
        </is>
      </c>
      <c r="D14" s="21" t="inlineStr">
        <is>
          <t>Uso a los demás para mis propios fines.</t>
        </is>
      </c>
      <c r="E14" s="22" t="n"/>
      <c r="F14" s="18" t="inlineStr">
        <is>
          <t>R</t>
        </is>
      </c>
      <c r="G14" s="18">
        <f>IF(E14="","",IF(F14="F",E14,6-E14))</f>
        <v/>
      </c>
    </row>
    <row r="15">
      <c r="A15" s="23" t="n">
        <v>10</v>
      </c>
      <c r="B15" s="29" t="inlineStr">
        <is>
          <t>C2</t>
        </is>
      </c>
      <c r="C15" s="25" t="inlineStr">
        <is>
          <t>Like to tidy up</t>
        </is>
      </c>
      <c r="D15" s="26" t="inlineStr">
        <is>
          <t>Me gusta ordenar.</t>
        </is>
      </c>
      <c r="E15" s="22" t="n"/>
      <c r="F15" s="23" t="inlineStr">
        <is>
          <t>F</t>
        </is>
      </c>
      <c r="G15" s="23">
        <f>IF(E15="","",IF(F15="F",E15,6-E15))</f>
        <v/>
      </c>
    </row>
    <row r="16">
      <c r="A16" s="18" t="n">
        <v>11</v>
      </c>
      <c r="B16" s="19" t="inlineStr">
        <is>
          <t>N3</t>
        </is>
      </c>
      <c r="C16" s="20" t="inlineStr">
        <is>
          <t>Often feel blue</t>
        </is>
      </c>
      <c r="D16" s="21" t="inlineStr">
        <is>
          <t>Me siento triste con frecuencia.</t>
        </is>
      </c>
      <c r="E16" s="22" t="n"/>
      <c r="F16" s="18" t="inlineStr">
        <is>
          <t>F</t>
        </is>
      </c>
      <c r="G16" s="18">
        <f>IF(E16="","",IF(F16="F",E16,6-E16))</f>
        <v/>
      </c>
    </row>
    <row r="17">
      <c r="A17" s="23" t="n">
        <v>12</v>
      </c>
      <c r="B17" s="24" t="inlineStr">
        <is>
          <t>E3</t>
        </is>
      </c>
      <c r="C17" s="25" t="inlineStr">
        <is>
          <t>Take charge</t>
        </is>
      </c>
      <c r="D17" s="26" t="inlineStr">
        <is>
          <t>Tomo el mando.</t>
        </is>
      </c>
      <c r="E17" s="22" t="n"/>
      <c r="F17" s="23" t="inlineStr">
        <is>
          <t>F</t>
        </is>
      </c>
      <c r="G17" s="23">
        <f>IF(E17="","",IF(F17="F",E17,6-E17))</f>
        <v/>
      </c>
    </row>
    <row r="18">
      <c r="A18" s="18" t="n">
        <v>13</v>
      </c>
      <c r="B18" s="27" t="inlineStr">
        <is>
          <t>O3</t>
        </is>
      </c>
      <c r="C18" s="20" t="inlineStr">
        <is>
          <t>Experience my emotions intensely</t>
        </is>
      </c>
      <c r="D18" s="21" t="inlineStr">
        <is>
          <t>Experimento mis emociones intensamente.</t>
        </is>
      </c>
      <c r="E18" s="22" t="n"/>
      <c r="F18" s="18" t="inlineStr">
        <is>
          <t>F</t>
        </is>
      </c>
      <c r="G18" s="18">
        <f>IF(E18="","",IF(F18="F",E18,6-E18))</f>
        <v/>
      </c>
    </row>
    <row r="19">
      <c r="A19" s="23" t="n">
        <v>14</v>
      </c>
      <c r="B19" s="28" t="inlineStr">
        <is>
          <t>A3</t>
        </is>
      </c>
      <c r="C19" s="25" t="inlineStr">
        <is>
          <t>Love to help others</t>
        </is>
      </c>
      <c r="D19" s="26" t="inlineStr">
        <is>
          <t>Me encanta ayudar a los demás.</t>
        </is>
      </c>
      <c r="E19" s="22" t="n"/>
      <c r="F19" s="23" t="inlineStr">
        <is>
          <t>F</t>
        </is>
      </c>
      <c r="G19" s="23">
        <f>IF(E19="","",IF(F19="F",E19,6-E19))</f>
        <v/>
      </c>
    </row>
    <row r="20">
      <c r="A20" s="18" t="n">
        <v>15</v>
      </c>
      <c r="B20" s="29" t="inlineStr">
        <is>
          <t>C3</t>
        </is>
      </c>
      <c r="C20" s="20" t="inlineStr">
        <is>
          <t>Keep my promises</t>
        </is>
      </c>
      <c r="D20" s="21" t="inlineStr">
        <is>
          <t>Cumplo mis promesas.</t>
        </is>
      </c>
      <c r="E20" s="22" t="n"/>
      <c r="F20" s="18" t="inlineStr">
        <is>
          <t>F</t>
        </is>
      </c>
      <c r="G20" s="18">
        <f>IF(E20="","",IF(F20="F",E20,6-E20))</f>
        <v/>
      </c>
    </row>
    <row r="21">
      <c r="A21" s="23" t="n">
        <v>16</v>
      </c>
      <c r="B21" s="19" t="inlineStr">
        <is>
          <t>N4</t>
        </is>
      </c>
      <c r="C21" s="25" t="inlineStr">
        <is>
          <t>Find it difficult to approach others</t>
        </is>
      </c>
      <c r="D21" s="26" t="inlineStr">
        <is>
          <t>Me cuesta acercarme a los demás.</t>
        </is>
      </c>
      <c r="E21" s="22" t="n"/>
      <c r="F21" s="23" t="inlineStr">
        <is>
          <t>F</t>
        </is>
      </c>
      <c r="G21" s="23">
        <f>IF(E21="","",IF(F21="F",E21,6-E21))</f>
        <v/>
      </c>
    </row>
    <row r="22">
      <c r="A22" s="18" t="n">
        <v>17</v>
      </c>
      <c r="B22" s="24" t="inlineStr">
        <is>
          <t>E4</t>
        </is>
      </c>
      <c r="C22" s="20" t="inlineStr">
        <is>
          <t>Am always busy</t>
        </is>
      </c>
      <c r="D22" s="21" t="inlineStr">
        <is>
          <t>Estoy siempre ocupado.</t>
        </is>
      </c>
      <c r="E22" s="22" t="n"/>
      <c r="F22" s="18" t="inlineStr">
        <is>
          <t>F</t>
        </is>
      </c>
      <c r="G22" s="18">
        <f>IF(E22="","",IF(F22="F",E22,6-E22))</f>
        <v/>
      </c>
    </row>
    <row r="23">
      <c r="A23" s="23" t="n">
        <v>18</v>
      </c>
      <c r="B23" s="27" t="inlineStr">
        <is>
          <t>O4</t>
        </is>
      </c>
      <c r="C23" s="25" t="inlineStr">
        <is>
          <t>Prefer variety to routine</t>
        </is>
      </c>
      <c r="D23" s="26" t="inlineStr">
        <is>
          <t>Prefiero la variedad a la rutina.</t>
        </is>
      </c>
      <c r="E23" s="22" t="n"/>
      <c r="F23" s="23" t="inlineStr">
        <is>
          <t>F</t>
        </is>
      </c>
      <c r="G23" s="23">
        <f>IF(E23="","",IF(F23="F",E23,6-E23))</f>
        <v/>
      </c>
    </row>
    <row r="24">
      <c r="A24" s="18" t="n">
        <v>19</v>
      </c>
      <c r="B24" s="28" t="inlineStr">
        <is>
          <t>A4</t>
        </is>
      </c>
      <c r="C24" s="20" t="inlineStr">
        <is>
          <t>Love a good fight</t>
        </is>
      </c>
      <c r="D24" s="21" t="inlineStr">
        <is>
          <t>Me encanta una buena pelea.</t>
        </is>
      </c>
      <c r="E24" s="22" t="n"/>
      <c r="F24" s="18" t="inlineStr">
        <is>
          <t>R</t>
        </is>
      </c>
      <c r="G24" s="18">
        <f>IF(E24="","",IF(F24="F",E24,6-E24))</f>
        <v/>
      </c>
    </row>
    <row r="25">
      <c r="A25" s="23" t="n">
        <v>20</v>
      </c>
      <c r="B25" s="29" t="inlineStr">
        <is>
          <t>C4</t>
        </is>
      </c>
      <c r="C25" s="25" t="inlineStr">
        <is>
          <t>Work hard</t>
        </is>
      </c>
      <c r="D25" s="26" t="inlineStr">
        <is>
          <t>Trabajo duro.</t>
        </is>
      </c>
      <c r="E25" s="22" t="n"/>
      <c r="F25" s="23" t="inlineStr">
        <is>
          <t>F</t>
        </is>
      </c>
      <c r="G25" s="23">
        <f>IF(E25="","",IF(F25="F",E25,6-E25))</f>
        <v/>
      </c>
    </row>
    <row r="26">
      <c r="A26" s="18" t="n">
        <v>21</v>
      </c>
      <c r="B26" s="19" t="inlineStr">
        <is>
          <t>N5</t>
        </is>
      </c>
      <c r="C26" s="20" t="inlineStr">
        <is>
          <t>Go on binges</t>
        </is>
      </c>
      <c r="D26" s="21" t="inlineStr">
        <is>
          <t>Me doy atracones.</t>
        </is>
      </c>
      <c r="E26" s="22" t="n"/>
      <c r="F26" s="18" t="inlineStr">
        <is>
          <t>F</t>
        </is>
      </c>
      <c r="G26" s="18">
        <f>IF(E26="","",IF(F26="F",E26,6-E26))</f>
        <v/>
      </c>
    </row>
    <row r="27">
      <c r="A27" s="23" t="n">
        <v>22</v>
      </c>
      <c r="B27" s="24" t="inlineStr">
        <is>
          <t>E5</t>
        </is>
      </c>
      <c r="C27" s="25" t="inlineStr">
        <is>
          <t>Love excitement</t>
        </is>
      </c>
      <c r="D27" s="26" t="inlineStr">
        <is>
          <t>Me encanta la emoción.</t>
        </is>
      </c>
      <c r="E27" s="22" t="n"/>
      <c r="F27" s="23" t="inlineStr">
        <is>
          <t>F</t>
        </is>
      </c>
      <c r="G27" s="23">
        <f>IF(E27="","",IF(F27="F",E27,6-E27))</f>
        <v/>
      </c>
    </row>
    <row r="28">
      <c r="A28" s="18" t="n">
        <v>23</v>
      </c>
      <c r="B28" s="27" t="inlineStr">
        <is>
          <t>O5</t>
        </is>
      </c>
      <c r="C28" s="20" t="inlineStr">
        <is>
          <t>Love to read challenging material</t>
        </is>
      </c>
      <c r="D28" s="21" t="inlineStr">
        <is>
          <t>Me encanta leer material desafiante.</t>
        </is>
      </c>
      <c r="E28" s="22" t="n"/>
      <c r="F28" s="18" t="inlineStr">
        <is>
          <t>F</t>
        </is>
      </c>
      <c r="G28" s="18">
        <f>IF(E28="","",IF(F28="F",E28,6-E28))</f>
        <v/>
      </c>
    </row>
    <row r="29">
      <c r="A29" s="23" t="n">
        <v>24</v>
      </c>
      <c r="B29" s="28" t="inlineStr">
        <is>
          <t>A5</t>
        </is>
      </c>
      <c r="C29" s="25" t="inlineStr">
        <is>
          <t>Believe that I am better than others</t>
        </is>
      </c>
      <c r="D29" s="26" t="inlineStr">
        <is>
          <t>Creo que soy mejor que los demás.</t>
        </is>
      </c>
      <c r="E29" s="22" t="n"/>
      <c r="F29" s="23" t="inlineStr">
        <is>
          <t>R</t>
        </is>
      </c>
      <c r="G29" s="23">
        <f>IF(E29="","",IF(F29="F",E29,6-E29))</f>
        <v/>
      </c>
    </row>
    <row r="30">
      <c r="A30" s="18" t="n">
        <v>25</v>
      </c>
      <c r="B30" s="29" t="inlineStr">
        <is>
          <t>C5</t>
        </is>
      </c>
      <c r="C30" s="20" t="inlineStr">
        <is>
          <t>Am always prepared</t>
        </is>
      </c>
      <c r="D30" s="21" t="inlineStr">
        <is>
          <t>Siempre estoy preparado.</t>
        </is>
      </c>
      <c r="E30" s="22" t="n"/>
      <c r="F30" s="18" t="inlineStr">
        <is>
          <t>F</t>
        </is>
      </c>
      <c r="G30" s="18">
        <f>IF(E30="","",IF(F30="F",E30,6-E30))</f>
        <v/>
      </c>
    </row>
    <row r="31">
      <c r="A31" s="23" t="n">
        <v>26</v>
      </c>
      <c r="B31" s="19" t="inlineStr">
        <is>
          <t>N6</t>
        </is>
      </c>
      <c r="C31" s="25" t="inlineStr">
        <is>
          <t>Panic easily</t>
        </is>
      </c>
      <c r="D31" s="26" t="inlineStr">
        <is>
          <t>Entro en pánico con facilidad.</t>
        </is>
      </c>
      <c r="E31" s="22" t="n"/>
      <c r="F31" s="23" t="inlineStr">
        <is>
          <t>F</t>
        </is>
      </c>
      <c r="G31" s="23">
        <f>IF(E31="","",IF(F31="F",E31,6-E31))</f>
        <v/>
      </c>
    </row>
    <row r="32">
      <c r="A32" s="18" t="n">
        <v>27</v>
      </c>
      <c r="B32" s="24" t="inlineStr">
        <is>
          <t>E6</t>
        </is>
      </c>
      <c r="C32" s="20" t="inlineStr">
        <is>
          <t>Radiate joy</t>
        </is>
      </c>
      <c r="D32" s="21" t="inlineStr">
        <is>
          <t>Irradio alegría.</t>
        </is>
      </c>
      <c r="E32" s="22" t="n"/>
      <c r="F32" s="18" t="inlineStr">
        <is>
          <t>F</t>
        </is>
      </c>
      <c r="G32" s="18">
        <f>IF(E32="","",IF(F32="F",E32,6-E32))</f>
        <v/>
      </c>
    </row>
    <row r="33">
      <c r="A33" s="23" t="n">
        <v>28</v>
      </c>
      <c r="B33" s="27" t="inlineStr">
        <is>
          <t>O6</t>
        </is>
      </c>
      <c r="C33" s="25" t="inlineStr">
        <is>
          <t>Tend to vote for liberal political candidates</t>
        </is>
      </c>
      <c r="D33" s="26" t="inlineStr">
        <is>
          <t>Tiendo a votar por candidatos políticos liberales.</t>
        </is>
      </c>
      <c r="E33" s="22" t="n"/>
      <c r="F33" s="23" t="inlineStr">
        <is>
          <t>F</t>
        </is>
      </c>
      <c r="G33" s="23">
        <f>IF(E33="","",IF(F33="F",E33,6-E33))</f>
        <v/>
      </c>
    </row>
    <row r="34">
      <c r="A34" s="18" t="n">
        <v>29</v>
      </c>
      <c r="B34" s="28" t="inlineStr">
        <is>
          <t>A6</t>
        </is>
      </c>
      <c r="C34" s="20" t="inlineStr">
        <is>
          <t>Sympathize with the homeless</t>
        </is>
      </c>
      <c r="D34" s="21" t="inlineStr">
        <is>
          <t>Simpatizo con la gente sin hogar.</t>
        </is>
      </c>
      <c r="E34" s="22" t="n"/>
      <c r="F34" s="18" t="inlineStr">
        <is>
          <t>F</t>
        </is>
      </c>
      <c r="G34" s="18">
        <f>IF(E34="","",IF(F34="F",E34,6-E34))</f>
        <v/>
      </c>
    </row>
    <row r="35">
      <c r="A35" s="23" t="n">
        <v>30</v>
      </c>
      <c r="B35" s="29" t="inlineStr">
        <is>
          <t>C6</t>
        </is>
      </c>
      <c r="C35" s="25" t="inlineStr">
        <is>
          <t>Jump into things without thinking</t>
        </is>
      </c>
      <c r="D35" s="26" t="inlineStr">
        <is>
          <t>Me lanzo a las cosas sin pensar.</t>
        </is>
      </c>
      <c r="E35" s="22" t="n"/>
      <c r="F35" s="23" t="inlineStr">
        <is>
          <t>R</t>
        </is>
      </c>
      <c r="G35" s="23">
        <f>IF(E35="","",IF(F35="F",E35,6-E35))</f>
        <v/>
      </c>
    </row>
    <row r="36">
      <c r="A36" s="18" t="n">
        <v>31</v>
      </c>
      <c r="B36" s="19" t="inlineStr">
        <is>
          <t>N1</t>
        </is>
      </c>
      <c r="C36" s="20" t="inlineStr">
        <is>
          <t>Fear for the worst</t>
        </is>
      </c>
      <c r="D36" s="21" t="inlineStr">
        <is>
          <t>Temo lo peor.</t>
        </is>
      </c>
      <c r="E36" s="22" t="n"/>
      <c r="F36" s="18" t="inlineStr">
        <is>
          <t>F</t>
        </is>
      </c>
      <c r="G36" s="18">
        <f>IF(E36="","",IF(F36="F",E36,6-E36))</f>
        <v/>
      </c>
    </row>
    <row r="37">
      <c r="A37" s="23" t="n">
        <v>32</v>
      </c>
      <c r="B37" s="24" t="inlineStr">
        <is>
          <t>E1</t>
        </is>
      </c>
      <c r="C37" s="25" t="inlineStr">
        <is>
          <t>Feel comfortable around other people</t>
        </is>
      </c>
      <c r="D37" s="26" t="inlineStr">
        <is>
          <t>Me siento cómodo cerca de otras personas.</t>
        </is>
      </c>
      <c r="E37" s="22" t="n"/>
      <c r="F37" s="23" t="inlineStr">
        <is>
          <t>F</t>
        </is>
      </c>
      <c r="G37" s="23">
        <f>IF(E37="","",IF(F37="F",E37,6-E37))</f>
        <v/>
      </c>
    </row>
    <row r="38">
      <c r="A38" s="18" t="n">
        <v>33</v>
      </c>
      <c r="B38" s="27" t="inlineStr">
        <is>
          <t>O1</t>
        </is>
      </c>
      <c r="C38" s="20" t="inlineStr">
        <is>
          <t>Enjoy wild flights of fancy</t>
        </is>
      </c>
      <c r="D38" s="21" t="inlineStr">
        <is>
          <t>Disfruto de vuelos salvajes de la fantasía.</t>
        </is>
      </c>
      <c r="E38" s="22" t="n"/>
      <c r="F38" s="18" t="inlineStr">
        <is>
          <t>F</t>
        </is>
      </c>
      <c r="G38" s="18">
        <f>IF(E38="","",IF(F38="F",E38,6-E38))</f>
        <v/>
      </c>
    </row>
    <row r="39">
      <c r="A39" s="23" t="n">
        <v>34</v>
      </c>
      <c r="B39" s="28" t="inlineStr">
        <is>
          <t>A1</t>
        </is>
      </c>
      <c r="C39" s="25" t="inlineStr">
        <is>
          <t>Believe that others have good intentions</t>
        </is>
      </c>
      <c r="D39" s="26" t="inlineStr">
        <is>
          <t>Creo que los demás tienen buenas intenciones.</t>
        </is>
      </c>
      <c r="E39" s="22" t="n"/>
      <c r="F39" s="23" t="inlineStr">
        <is>
          <t>F</t>
        </is>
      </c>
      <c r="G39" s="23">
        <f>IF(E39="","",IF(F39="F",E39,6-E39))</f>
        <v/>
      </c>
    </row>
    <row r="40">
      <c r="A40" s="18" t="n">
        <v>35</v>
      </c>
      <c r="B40" s="29" t="inlineStr">
        <is>
          <t>C1</t>
        </is>
      </c>
      <c r="C40" s="20" t="inlineStr">
        <is>
          <t>Excel in what I do</t>
        </is>
      </c>
      <c r="D40" s="21" t="inlineStr">
        <is>
          <t>Sobresalgo en lo que hago.</t>
        </is>
      </c>
      <c r="E40" s="22" t="n"/>
      <c r="F40" s="18" t="inlineStr">
        <is>
          <t>F</t>
        </is>
      </c>
      <c r="G40" s="18">
        <f>IF(E40="","",IF(F40="F",E40,6-E40))</f>
        <v/>
      </c>
    </row>
    <row r="41">
      <c r="A41" s="23" t="n">
        <v>36</v>
      </c>
      <c r="B41" s="19" t="inlineStr">
        <is>
          <t>N2</t>
        </is>
      </c>
      <c r="C41" s="25" t="inlineStr">
        <is>
          <t>Get irritated easily</t>
        </is>
      </c>
      <c r="D41" s="26" t="inlineStr">
        <is>
          <t>Me irrito con facilidad.</t>
        </is>
      </c>
      <c r="E41" s="22" t="n"/>
      <c r="F41" s="23" t="inlineStr">
        <is>
          <t>F</t>
        </is>
      </c>
      <c r="G41" s="23">
        <f>IF(E41="","",IF(F41="F",E41,6-E41))</f>
        <v/>
      </c>
    </row>
    <row r="42">
      <c r="A42" s="18" t="n">
        <v>37</v>
      </c>
      <c r="B42" s="24" t="inlineStr">
        <is>
          <t>E2</t>
        </is>
      </c>
      <c r="C42" s="20" t="inlineStr">
        <is>
          <t>Talk to a lot of different people at parties</t>
        </is>
      </c>
      <c r="D42" s="21" t="inlineStr">
        <is>
          <t>Hablo con mucha gente diferente en las fiestas.</t>
        </is>
      </c>
      <c r="E42" s="22" t="n"/>
      <c r="F42" s="18" t="inlineStr">
        <is>
          <t>F</t>
        </is>
      </c>
      <c r="G42" s="18">
        <f>IF(E42="","",IF(F42="F",E42,6-E42))</f>
        <v/>
      </c>
    </row>
    <row r="43">
      <c r="A43" s="23" t="n">
        <v>38</v>
      </c>
      <c r="B43" s="27" t="inlineStr">
        <is>
          <t>O2</t>
        </is>
      </c>
      <c r="C43" s="25" t="inlineStr">
        <is>
          <t>See beauty in things that others might not notice</t>
        </is>
      </c>
      <c r="D43" s="26" t="inlineStr">
        <is>
          <t>Veo belleza en cosas que otros no notarían.</t>
        </is>
      </c>
      <c r="E43" s="22" t="n"/>
      <c r="F43" s="23" t="inlineStr">
        <is>
          <t>F</t>
        </is>
      </c>
      <c r="G43" s="23">
        <f>IF(E43="","",IF(F43="F",E43,6-E43))</f>
        <v/>
      </c>
    </row>
    <row r="44">
      <c r="A44" s="18" t="n">
        <v>39</v>
      </c>
      <c r="B44" s="28" t="inlineStr">
        <is>
          <t>A2</t>
        </is>
      </c>
      <c r="C44" s="20" t="inlineStr">
        <is>
          <t>Cheat to get ahead</t>
        </is>
      </c>
      <c r="D44" s="21" t="inlineStr">
        <is>
          <t>Hago trampa para salir adelante.</t>
        </is>
      </c>
      <c r="E44" s="22" t="n"/>
      <c r="F44" s="18" t="inlineStr">
        <is>
          <t>R</t>
        </is>
      </c>
      <c r="G44" s="18">
        <f>IF(E44="","",IF(F44="F",E44,6-E44))</f>
        <v/>
      </c>
    </row>
    <row r="45">
      <c r="A45" s="23" t="n">
        <v>40</v>
      </c>
      <c r="B45" s="29" t="inlineStr">
        <is>
          <t>C2</t>
        </is>
      </c>
      <c r="C45" s="25" t="inlineStr">
        <is>
          <t>Often forget to put things back in their proper place</t>
        </is>
      </c>
      <c r="D45" s="26" t="inlineStr">
        <is>
          <t>A menudo olvido devolver las cosas a su lugar.</t>
        </is>
      </c>
      <c r="E45" s="22" t="n"/>
      <c r="F45" s="23" t="inlineStr">
        <is>
          <t>R</t>
        </is>
      </c>
      <c r="G45" s="23">
        <f>IF(E45="","",IF(F45="F",E45,6-E45))</f>
        <v/>
      </c>
    </row>
    <row r="46">
      <c r="A46" s="18" t="n">
        <v>41</v>
      </c>
      <c r="B46" s="19" t="inlineStr">
        <is>
          <t>N3</t>
        </is>
      </c>
      <c r="C46" s="20" t="inlineStr">
        <is>
          <t>Dislike myself</t>
        </is>
      </c>
      <c r="D46" s="21" t="inlineStr">
        <is>
          <t>No me gusta cómo soy.</t>
        </is>
      </c>
      <c r="E46" s="22" t="n"/>
      <c r="F46" s="18" t="inlineStr">
        <is>
          <t>F</t>
        </is>
      </c>
      <c r="G46" s="18">
        <f>IF(E46="","",IF(F46="F",E46,6-E46))</f>
        <v/>
      </c>
    </row>
    <row r="47">
      <c r="A47" s="23" t="n">
        <v>42</v>
      </c>
      <c r="B47" s="24" t="inlineStr">
        <is>
          <t>E3</t>
        </is>
      </c>
      <c r="C47" s="25" t="inlineStr">
        <is>
          <t>Try to lead others</t>
        </is>
      </c>
      <c r="D47" s="26" t="inlineStr">
        <is>
          <t>Trato de liderar a los demás.</t>
        </is>
      </c>
      <c r="E47" s="22" t="n"/>
      <c r="F47" s="23" t="inlineStr">
        <is>
          <t>F</t>
        </is>
      </c>
      <c r="G47" s="23">
        <f>IF(E47="","",IF(F47="F",E47,6-E47))</f>
        <v/>
      </c>
    </row>
    <row r="48">
      <c r="A48" s="18" t="n">
        <v>43</v>
      </c>
      <c r="B48" s="27" t="inlineStr">
        <is>
          <t>O3</t>
        </is>
      </c>
      <c r="C48" s="20" t="inlineStr">
        <is>
          <t>Feel others' emotions</t>
        </is>
      </c>
      <c r="D48" s="21" t="inlineStr">
        <is>
          <t>Siento las emociones de los demás.</t>
        </is>
      </c>
      <c r="E48" s="22" t="n"/>
      <c r="F48" s="18" t="inlineStr">
        <is>
          <t>F</t>
        </is>
      </c>
      <c r="G48" s="18">
        <f>IF(E48="","",IF(F48="F",E48,6-E48))</f>
        <v/>
      </c>
    </row>
    <row r="49">
      <c r="A49" s="23" t="n">
        <v>44</v>
      </c>
      <c r="B49" s="28" t="inlineStr">
        <is>
          <t>A3</t>
        </is>
      </c>
      <c r="C49" s="25" t="inlineStr">
        <is>
          <t>Am concerned about others</t>
        </is>
      </c>
      <c r="D49" s="26" t="inlineStr">
        <is>
          <t>Me preocupo por los demás.</t>
        </is>
      </c>
      <c r="E49" s="22" t="n"/>
      <c r="F49" s="23" t="inlineStr">
        <is>
          <t>F</t>
        </is>
      </c>
      <c r="G49" s="23">
        <f>IF(E49="","",IF(F49="F",E49,6-E49))</f>
        <v/>
      </c>
    </row>
    <row r="50">
      <c r="A50" s="18" t="n">
        <v>45</v>
      </c>
      <c r="B50" s="29" t="inlineStr">
        <is>
          <t>C3</t>
        </is>
      </c>
      <c r="C50" s="20" t="inlineStr">
        <is>
          <t>Tell the truth</t>
        </is>
      </c>
      <c r="D50" s="21" t="inlineStr">
        <is>
          <t>Digo la verdad.</t>
        </is>
      </c>
      <c r="E50" s="22" t="n"/>
      <c r="F50" s="18" t="inlineStr">
        <is>
          <t>F</t>
        </is>
      </c>
      <c r="G50" s="18">
        <f>IF(E50="","",IF(F50="F",E50,6-E50))</f>
        <v/>
      </c>
    </row>
    <row r="51">
      <c r="A51" s="23" t="n">
        <v>46</v>
      </c>
      <c r="B51" s="19" t="inlineStr">
        <is>
          <t>N4</t>
        </is>
      </c>
      <c r="C51" s="25" t="inlineStr">
        <is>
          <t>Am afraid to draw attention to myself</t>
        </is>
      </c>
      <c r="D51" s="26" t="inlineStr">
        <is>
          <t>Tengo miedo de llamar la atención sobre mí.</t>
        </is>
      </c>
      <c r="E51" s="22" t="n"/>
      <c r="F51" s="23" t="inlineStr">
        <is>
          <t>F</t>
        </is>
      </c>
      <c r="G51" s="23">
        <f>IF(E51="","",IF(F51="F",E51,6-E51))</f>
        <v/>
      </c>
    </row>
    <row r="52">
      <c r="A52" s="18" t="n">
        <v>47</v>
      </c>
      <c r="B52" s="24" t="inlineStr">
        <is>
          <t>E4</t>
        </is>
      </c>
      <c r="C52" s="20" t="inlineStr">
        <is>
          <t>Am always on the go</t>
        </is>
      </c>
      <c r="D52" s="21" t="inlineStr">
        <is>
          <t>Siempre estoy en movimiento.</t>
        </is>
      </c>
      <c r="E52" s="22" t="n"/>
      <c r="F52" s="18" t="inlineStr">
        <is>
          <t>F</t>
        </is>
      </c>
      <c r="G52" s="18">
        <f>IF(E52="","",IF(F52="F",E52,6-E52))</f>
        <v/>
      </c>
    </row>
    <row r="53">
      <c r="A53" s="23" t="n">
        <v>48</v>
      </c>
      <c r="B53" s="27" t="inlineStr">
        <is>
          <t>O4</t>
        </is>
      </c>
      <c r="C53" s="25" t="inlineStr">
        <is>
          <t>Prefer to stick with things that I know</t>
        </is>
      </c>
      <c r="D53" s="26" t="inlineStr">
        <is>
          <t>Prefiero seguir con las cosas que conozco.</t>
        </is>
      </c>
      <c r="E53" s="22" t="n"/>
      <c r="F53" s="23" t="inlineStr">
        <is>
          <t>R</t>
        </is>
      </c>
      <c r="G53" s="23">
        <f>IF(E53="","",IF(F53="F",E53,6-E53))</f>
        <v/>
      </c>
    </row>
    <row r="54">
      <c r="A54" s="18" t="n">
        <v>49</v>
      </c>
      <c r="B54" s="28" t="inlineStr">
        <is>
          <t>A4</t>
        </is>
      </c>
      <c r="C54" s="20" t="inlineStr">
        <is>
          <t>Yell at people</t>
        </is>
      </c>
      <c r="D54" s="21" t="inlineStr">
        <is>
          <t>Le grito a la gente.</t>
        </is>
      </c>
      <c r="E54" s="22" t="n"/>
      <c r="F54" s="18" t="inlineStr">
        <is>
          <t>R</t>
        </is>
      </c>
      <c r="G54" s="18">
        <f>IF(E54="","",IF(F54="F",E54,6-E54))</f>
        <v/>
      </c>
    </row>
    <row r="55">
      <c r="A55" s="23" t="n">
        <v>50</v>
      </c>
      <c r="B55" s="29" t="inlineStr">
        <is>
          <t>C4</t>
        </is>
      </c>
      <c r="C55" s="25" t="inlineStr">
        <is>
          <t>Do more than what's expected of me</t>
        </is>
      </c>
      <c r="D55" s="26" t="inlineStr">
        <is>
          <t>Hago más de lo que se espera de mí.</t>
        </is>
      </c>
      <c r="E55" s="22" t="n"/>
      <c r="F55" s="23" t="inlineStr">
        <is>
          <t>F</t>
        </is>
      </c>
      <c r="G55" s="23">
        <f>IF(E55="","",IF(F55="F",E55,6-E55))</f>
        <v/>
      </c>
    </row>
    <row r="56">
      <c r="A56" s="18" t="n">
        <v>51</v>
      </c>
      <c r="B56" s="19" t="inlineStr">
        <is>
          <t>N5</t>
        </is>
      </c>
      <c r="C56" s="20" t="inlineStr">
        <is>
          <t>Rarely overindulge</t>
        </is>
      </c>
      <c r="D56" s="21" t="inlineStr">
        <is>
          <t>Rara vez me excedo.</t>
        </is>
      </c>
      <c r="E56" s="22" t="n"/>
      <c r="F56" s="18" t="inlineStr">
        <is>
          <t>R</t>
        </is>
      </c>
      <c r="G56" s="18">
        <f>IF(E56="","",IF(F56="F",E56,6-E56))</f>
        <v/>
      </c>
    </row>
    <row r="57">
      <c r="A57" s="23" t="n">
        <v>52</v>
      </c>
      <c r="B57" s="24" t="inlineStr">
        <is>
          <t>E5</t>
        </is>
      </c>
      <c r="C57" s="25" t="inlineStr">
        <is>
          <t>Seek adventure</t>
        </is>
      </c>
      <c r="D57" s="26" t="inlineStr">
        <is>
          <t>Busco la aventura.</t>
        </is>
      </c>
      <c r="E57" s="22" t="n"/>
      <c r="F57" s="23" t="inlineStr">
        <is>
          <t>F</t>
        </is>
      </c>
      <c r="G57" s="23">
        <f>IF(E57="","",IF(F57="F",E57,6-E57))</f>
        <v/>
      </c>
    </row>
    <row r="58">
      <c r="A58" s="18" t="n">
        <v>53</v>
      </c>
      <c r="B58" s="27" t="inlineStr">
        <is>
          <t>O5</t>
        </is>
      </c>
      <c r="C58" s="20" t="inlineStr">
        <is>
          <t>Avoid philosophical discussions</t>
        </is>
      </c>
      <c r="D58" s="21" t="inlineStr">
        <is>
          <t>Evito las discusiones filosóficas.</t>
        </is>
      </c>
      <c r="E58" s="22" t="n"/>
      <c r="F58" s="18" t="inlineStr">
        <is>
          <t>R</t>
        </is>
      </c>
      <c r="G58" s="18">
        <f>IF(E58="","",IF(F58="F",E58,6-E58))</f>
        <v/>
      </c>
    </row>
    <row r="59">
      <c r="A59" s="23" t="n">
        <v>54</v>
      </c>
      <c r="B59" s="28" t="inlineStr">
        <is>
          <t>A5</t>
        </is>
      </c>
      <c r="C59" s="25" t="inlineStr">
        <is>
          <t>Think highly of myself</t>
        </is>
      </c>
      <c r="D59" s="26" t="inlineStr">
        <is>
          <t>Pienso muy bien de mí mismo.</t>
        </is>
      </c>
      <c r="E59" s="22" t="n"/>
      <c r="F59" s="23" t="inlineStr">
        <is>
          <t>R</t>
        </is>
      </c>
      <c r="G59" s="23">
        <f>IF(E59="","",IF(F59="F",E59,6-E59))</f>
        <v/>
      </c>
    </row>
    <row r="60">
      <c r="A60" s="18" t="n">
        <v>55</v>
      </c>
      <c r="B60" s="29" t="inlineStr">
        <is>
          <t>C5</t>
        </is>
      </c>
      <c r="C60" s="20" t="inlineStr">
        <is>
          <t>Carry out my plans</t>
        </is>
      </c>
      <c r="D60" s="21" t="inlineStr">
        <is>
          <t>Llevo a cabo mis planes.</t>
        </is>
      </c>
      <c r="E60" s="22" t="n"/>
      <c r="F60" s="18" t="inlineStr">
        <is>
          <t>F</t>
        </is>
      </c>
      <c r="G60" s="18">
        <f>IF(E60="","",IF(F60="F",E60,6-E60))</f>
        <v/>
      </c>
    </row>
    <row r="61">
      <c r="A61" s="23" t="n">
        <v>56</v>
      </c>
      <c r="B61" s="19" t="inlineStr">
        <is>
          <t>N6</t>
        </is>
      </c>
      <c r="C61" s="25" t="inlineStr">
        <is>
          <t>Become overwhelmed by events</t>
        </is>
      </c>
      <c r="D61" s="26" t="inlineStr">
        <is>
          <t>Me abruman los eventos.</t>
        </is>
      </c>
      <c r="E61" s="22" t="n"/>
      <c r="F61" s="23" t="inlineStr">
        <is>
          <t>F</t>
        </is>
      </c>
      <c r="G61" s="23">
        <f>IF(E61="","",IF(F61="F",E61,6-E61))</f>
        <v/>
      </c>
    </row>
    <row r="62">
      <c r="A62" s="18" t="n">
        <v>57</v>
      </c>
      <c r="B62" s="24" t="inlineStr">
        <is>
          <t>E6</t>
        </is>
      </c>
      <c r="C62" s="20" t="inlineStr">
        <is>
          <t>Have a lot of fun</t>
        </is>
      </c>
      <c r="D62" s="21" t="inlineStr">
        <is>
          <t>Me divierto mucho.</t>
        </is>
      </c>
      <c r="E62" s="22" t="n"/>
      <c r="F62" s="18" t="inlineStr">
        <is>
          <t>F</t>
        </is>
      </c>
      <c r="G62" s="18">
        <f>IF(E62="","",IF(F62="F",E62,6-E62))</f>
        <v/>
      </c>
    </row>
    <row r="63">
      <c r="A63" s="23" t="n">
        <v>58</v>
      </c>
      <c r="B63" s="27" t="inlineStr">
        <is>
          <t>O6</t>
        </is>
      </c>
      <c r="C63" s="25" t="inlineStr">
        <is>
          <t>Believe that there is no absolute right or wrong</t>
        </is>
      </c>
      <c r="D63" s="26" t="inlineStr">
        <is>
          <t>Creo que no hay un bien o mal absoluto.</t>
        </is>
      </c>
      <c r="E63" s="22" t="n"/>
      <c r="F63" s="23" t="inlineStr">
        <is>
          <t>F</t>
        </is>
      </c>
      <c r="G63" s="23">
        <f>IF(E63="","",IF(F63="F",E63,6-E63))</f>
        <v/>
      </c>
    </row>
    <row r="64">
      <c r="A64" s="18" t="n">
        <v>59</v>
      </c>
      <c r="B64" s="28" t="inlineStr">
        <is>
          <t>A6</t>
        </is>
      </c>
      <c r="C64" s="20" t="inlineStr">
        <is>
          <t>Feel sympathy for those who are worse off than myself</t>
        </is>
      </c>
      <c r="D64" s="21" t="inlineStr">
        <is>
          <t>Siento compasión por los que están peor que yo.</t>
        </is>
      </c>
      <c r="E64" s="22" t="n"/>
      <c r="F64" s="18" t="inlineStr">
        <is>
          <t>F</t>
        </is>
      </c>
      <c r="G64" s="18">
        <f>IF(E64="","",IF(F64="F",E64,6-E64))</f>
        <v/>
      </c>
    </row>
    <row r="65">
      <c r="A65" s="23" t="n">
        <v>60</v>
      </c>
      <c r="B65" s="29" t="inlineStr">
        <is>
          <t>C6</t>
        </is>
      </c>
      <c r="C65" s="25" t="inlineStr">
        <is>
          <t>Make rash decisions</t>
        </is>
      </c>
      <c r="D65" s="26" t="inlineStr">
        <is>
          <t>Tomo decisiones precipitadas.</t>
        </is>
      </c>
      <c r="E65" s="22" t="n"/>
      <c r="F65" s="23" t="inlineStr">
        <is>
          <t>R</t>
        </is>
      </c>
      <c r="G65" s="23">
        <f>IF(E65="","",IF(F65="F",E65,6-E65))</f>
        <v/>
      </c>
    </row>
    <row r="66">
      <c r="A66" s="18" t="n">
        <v>61</v>
      </c>
      <c r="B66" s="19" t="inlineStr">
        <is>
          <t>N1</t>
        </is>
      </c>
      <c r="C66" s="20" t="inlineStr">
        <is>
          <t>Am afraid of many things</t>
        </is>
      </c>
      <c r="D66" s="21" t="inlineStr">
        <is>
          <t>Le tengo miedo a muchas cosas.</t>
        </is>
      </c>
      <c r="E66" s="22" t="n"/>
      <c r="F66" s="18" t="inlineStr">
        <is>
          <t>F</t>
        </is>
      </c>
      <c r="G66" s="18">
        <f>IF(E66="","",IF(F66="F",E66,6-E66))</f>
        <v/>
      </c>
    </row>
    <row r="67">
      <c r="A67" s="23" t="n">
        <v>62</v>
      </c>
      <c r="B67" s="24" t="inlineStr">
        <is>
          <t>E1</t>
        </is>
      </c>
      <c r="C67" s="25" t="inlineStr">
        <is>
          <t>Avoid contacts with others</t>
        </is>
      </c>
      <c r="D67" s="26" t="inlineStr">
        <is>
          <t>Evito el contacto con los demás.</t>
        </is>
      </c>
      <c r="E67" s="22" t="n"/>
      <c r="F67" s="23" t="inlineStr">
        <is>
          <t>R</t>
        </is>
      </c>
      <c r="G67" s="23">
        <f>IF(E67="","",IF(F67="F",E67,6-E67))</f>
        <v/>
      </c>
    </row>
    <row r="68">
      <c r="A68" s="18" t="n">
        <v>63</v>
      </c>
      <c r="B68" s="27" t="inlineStr">
        <is>
          <t>O1</t>
        </is>
      </c>
      <c r="C68" s="20" t="inlineStr">
        <is>
          <t>Love to daydream</t>
        </is>
      </c>
      <c r="D68" s="21" t="inlineStr">
        <is>
          <t>Me encanta soñar despierto.</t>
        </is>
      </c>
      <c r="E68" s="22" t="n"/>
      <c r="F68" s="18" t="inlineStr">
        <is>
          <t>F</t>
        </is>
      </c>
      <c r="G68" s="18">
        <f>IF(E68="","",IF(F68="F",E68,6-E68))</f>
        <v/>
      </c>
    </row>
    <row r="69">
      <c r="A69" s="23" t="n">
        <v>64</v>
      </c>
      <c r="B69" s="28" t="inlineStr">
        <is>
          <t>A1</t>
        </is>
      </c>
      <c r="C69" s="25" t="inlineStr">
        <is>
          <t>Trust what people say</t>
        </is>
      </c>
      <c r="D69" s="26" t="inlineStr">
        <is>
          <t>Confío en lo que dice la gente.</t>
        </is>
      </c>
      <c r="E69" s="22" t="n"/>
      <c r="F69" s="23" t="inlineStr">
        <is>
          <t>F</t>
        </is>
      </c>
      <c r="G69" s="23">
        <f>IF(E69="","",IF(F69="F",E69,6-E69))</f>
        <v/>
      </c>
    </row>
    <row r="70">
      <c r="A70" s="18" t="n">
        <v>65</v>
      </c>
      <c r="B70" s="29" t="inlineStr">
        <is>
          <t>C1</t>
        </is>
      </c>
      <c r="C70" s="20" t="inlineStr">
        <is>
          <t>Handle tasks smoothly</t>
        </is>
      </c>
      <c r="D70" s="21" t="inlineStr">
        <is>
          <t>Manejo las tareas con soltura.</t>
        </is>
      </c>
      <c r="E70" s="22" t="n"/>
      <c r="F70" s="18" t="inlineStr">
        <is>
          <t>F</t>
        </is>
      </c>
      <c r="G70" s="18">
        <f>IF(E70="","",IF(F70="F",E70,6-E70))</f>
        <v/>
      </c>
    </row>
    <row r="71">
      <c r="A71" s="23" t="n">
        <v>66</v>
      </c>
      <c r="B71" s="19" t="inlineStr">
        <is>
          <t>N2</t>
        </is>
      </c>
      <c r="C71" s="25" t="inlineStr">
        <is>
          <t>Lose my temper</t>
        </is>
      </c>
      <c r="D71" s="26" t="inlineStr">
        <is>
          <t>Pierdo los estribos.</t>
        </is>
      </c>
      <c r="E71" s="22" t="n"/>
      <c r="F71" s="23" t="inlineStr">
        <is>
          <t>F</t>
        </is>
      </c>
      <c r="G71" s="23">
        <f>IF(E71="","",IF(F71="F",E71,6-E71))</f>
        <v/>
      </c>
    </row>
    <row r="72">
      <c r="A72" s="18" t="n">
        <v>67</v>
      </c>
      <c r="B72" s="24" t="inlineStr">
        <is>
          <t>E2</t>
        </is>
      </c>
      <c r="C72" s="20" t="inlineStr">
        <is>
          <t>Prefer to be alone</t>
        </is>
      </c>
      <c r="D72" s="21" t="inlineStr">
        <is>
          <t>Prefiero estar solo.</t>
        </is>
      </c>
      <c r="E72" s="22" t="n"/>
      <c r="F72" s="18" t="inlineStr">
        <is>
          <t>R</t>
        </is>
      </c>
      <c r="G72" s="18">
        <f>IF(E72="","",IF(F72="F",E72,6-E72))</f>
        <v/>
      </c>
    </row>
    <row r="73">
      <c r="A73" s="23" t="n">
        <v>68</v>
      </c>
      <c r="B73" s="27" t="inlineStr">
        <is>
          <t>O2</t>
        </is>
      </c>
      <c r="C73" s="25" t="inlineStr">
        <is>
          <t>Do not like poetry</t>
        </is>
      </c>
      <c r="D73" s="26" t="inlineStr">
        <is>
          <t>No me gusta la poesía.</t>
        </is>
      </c>
      <c r="E73" s="22" t="n"/>
      <c r="F73" s="23" t="inlineStr">
        <is>
          <t>R</t>
        </is>
      </c>
      <c r="G73" s="23">
        <f>IF(E73="","",IF(F73="F",E73,6-E73))</f>
        <v/>
      </c>
    </row>
    <row r="74">
      <c r="A74" s="18" t="n">
        <v>69</v>
      </c>
      <c r="B74" s="28" t="inlineStr">
        <is>
          <t>A2</t>
        </is>
      </c>
      <c r="C74" s="20" t="inlineStr">
        <is>
          <t>Take advantage of others</t>
        </is>
      </c>
      <c r="D74" s="21" t="inlineStr">
        <is>
          <t>Me aprovecho de los demás.</t>
        </is>
      </c>
      <c r="E74" s="22" t="n"/>
      <c r="F74" s="18" t="inlineStr">
        <is>
          <t>R</t>
        </is>
      </c>
      <c r="G74" s="18">
        <f>IF(E74="","",IF(F74="F",E74,6-E74))</f>
        <v/>
      </c>
    </row>
    <row r="75">
      <c r="A75" s="23" t="n">
        <v>70</v>
      </c>
      <c r="B75" s="29" t="inlineStr">
        <is>
          <t>C2</t>
        </is>
      </c>
      <c r="C75" s="25" t="inlineStr">
        <is>
          <t>Leave a mess in my room</t>
        </is>
      </c>
      <c r="D75" s="26" t="inlineStr">
        <is>
          <t>Dejo un desorden en mi habitación.</t>
        </is>
      </c>
      <c r="E75" s="22" t="n"/>
      <c r="F75" s="23" t="inlineStr">
        <is>
          <t>R</t>
        </is>
      </c>
      <c r="G75" s="23">
        <f>IF(E75="","",IF(F75="F",E75,6-E75))</f>
        <v/>
      </c>
    </row>
    <row r="76">
      <c r="A76" s="18" t="n">
        <v>71</v>
      </c>
      <c r="B76" s="19" t="inlineStr">
        <is>
          <t>N3</t>
        </is>
      </c>
      <c r="C76" s="20" t="inlineStr">
        <is>
          <t>Am often down in the dumps</t>
        </is>
      </c>
      <c r="D76" s="21" t="inlineStr">
        <is>
          <t>Me siento decaído con frecuencia.</t>
        </is>
      </c>
      <c r="E76" s="22" t="n"/>
      <c r="F76" s="18" t="inlineStr">
        <is>
          <t>F</t>
        </is>
      </c>
      <c r="G76" s="18">
        <f>IF(E76="","",IF(F76="F",E76,6-E76))</f>
        <v/>
      </c>
    </row>
    <row r="77">
      <c r="A77" s="23" t="n">
        <v>72</v>
      </c>
      <c r="B77" s="24" t="inlineStr">
        <is>
          <t>E3</t>
        </is>
      </c>
      <c r="C77" s="25" t="inlineStr">
        <is>
          <t>Take control of things</t>
        </is>
      </c>
      <c r="D77" s="26" t="inlineStr">
        <is>
          <t>Tomo el control de las cosas.</t>
        </is>
      </c>
      <c r="E77" s="22" t="n"/>
      <c r="F77" s="23" t="inlineStr">
        <is>
          <t>F</t>
        </is>
      </c>
      <c r="G77" s="23">
        <f>IF(E77="","",IF(F77="F",E77,6-E77))</f>
        <v/>
      </c>
    </row>
    <row r="78">
      <c r="A78" s="18" t="n">
        <v>73</v>
      </c>
      <c r="B78" s="27" t="inlineStr">
        <is>
          <t>O3</t>
        </is>
      </c>
      <c r="C78" s="20" t="inlineStr">
        <is>
          <t>Rarely notice my emotional reactions</t>
        </is>
      </c>
      <c r="D78" s="21" t="inlineStr">
        <is>
          <t>Rara vez noto mis reacciones emocionales.</t>
        </is>
      </c>
      <c r="E78" s="22" t="n"/>
      <c r="F78" s="18" t="inlineStr">
        <is>
          <t>R</t>
        </is>
      </c>
      <c r="G78" s="18">
        <f>IF(E78="","",IF(F78="F",E78,6-E78))</f>
        <v/>
      </c>
    </row>
    <row r="79">
      <c r="A79" s="23" t="n">
        <v>74</v>
      </c>
      <c r="B79" s="28" t="inlineStr">
        <is>
          <t>A3</t>
        </is>
      </c>
      <c r="C79" s="25" t="inlineStr">
        <is>
          <t>Am indifferent to the feelings of others</t>
        </is>
      </c>
      <c r="D79" s="26" t="inlineStr">
        <is>
          <t>Soy indiferente a los sentimientos de los demás.</t>
        </is>
      </c>
      <c r="E79" s="22" t="n"/>
      <c r="F79" s="23" t="inlineStr">
        <is>
          <t>R</t>
        </is>
      </c>
      <c r="G79" s="23">
        <f>IF(E79="","",IF(F79="F",E79,6-E79))</f>
        <v/>
      </c>
    </row>
    <row r="80">
      <c r="A80" s="18" t="n">
        <v>75</v>
      </c>
      <c r="B80" s="29" t="inlineStr">
        <is>
          <t>C3</t>
        </is>
      </c>
      <c r="C80" s="20" t="inlineStr">
        <is>
          <t>Break rules</t>
        </is>
      </c>
      <c r="D80" s="21" t="inlineStr">
        <is>
          <t>Rompo las reglas.</t>
        </is>
      </c>
      <c r="E80" s="22" t="n"/>
      <c r="F80" s="18" t="inlineStr">
        <is>
          <t>R</t>
        </is>
      </c>
      <c r="G80" s="18">
        <f>IF(E80="","",IF(F80="F",E80,6-E80))</f>
        <v/>
      </c>
    </row>
    <row r="81">
      <c r="A81" s="23" t="n">
        <v>76</v>
      </c>
      <c r="B81" s="19" t="inlineStr">
        <is>
          <t>N4</t>
        </is>
      </c>
      <c r="C81" s="25" t="inlineStr">
        <is>
          <t>Only feel comfortable with friends</t>
        </is>
      </c>
      <c r="D81" s="26" t="inlineStr">
        <is>
          <t>Solo me siento cómodo con amigos.</t>
        </is>
      </c>
      <c r="E81" s="22" t="n"/>
      <c r="F81" s="23" t="inlineStr">
        <is>
          <t>F</t>
        </is>
      </c>
      <c r="G81" s="23">
        <f>IF(E81="","",IF(F81="F",E81,6-E81))</f>
        <v/>
      </c>
    </row>
    <row r="82">
      <c r="A82" s="18" t="n">
        <v>77</v>
      </c>
      <c r="B82" s="24" t="inlineStr">
        <is>
          <t>E4</t>
        </is>
      </c>
      <c r="C82" s="20" t="inlineStr">
        <is>
          <t>Do a lot in my spare time</t>
        </is>
      </c>
      <c r="D82" s="21" t="inlineStr">
        <is>
          <t>Hago mucho en mi tiempo libre.</t>
        </is>
      </c>
      <c r="E82" s="22" t="n"/>
      <c r="F82" s="18" t="inlineStr">
        <is>
          <t>F</t>
        </is>
      </c>
      <c r="G82" s="18">
        <f>IF(E82="","",IF(F82="F",E82,6-E82))</f>
        <v/>
      </c>
    </row>
    <row r="83">
      <c r="A83" s="23" t="n">
        <v>78</v>
      </c>
      <c r="B83" s="27" t="inlineStr">
        <is>
          <t>O4</t>
        </is>
      </c>
      <c r="C83" s="25" t="inlineStr">
        <is>
          <t>Dislike changes</t>
        </is>
      </c>
      <c r="D83" s="26" t="inlineStr">
        <is>
          <t>No me gustan los cambios.</t>
        </is>
      </c>
      <c r="E83" s="22" t="n"/>
      <c r="F83" s="23" t="inlineStr">
        <is>
          <t>R</t>
        </is>
      </c>
      <c r="G83" s="23">
        <f>IF(E83="","",IF(F83="F",E83,6-E83))</f>
        <v/>
      </c>
    </row>
    <row r="84">
      <c r="A84" s="18" t="n">
        <v>79</v>
      </c>
      <c r="B84" s="28" t="inlineStr">
        <is>
          <t>A4</t>
        </is>
      </c>
      <c r="C84" s="20" t="inlineStr">
        <is>
          <t>Insult people</t>
        </is>
      </c>
      <c r="D84" s="21" t="inlineStr">
        <is>
          <t>Insulto a la gente.</t>
        </is>
      </c>
      <c r="E84" s="22" t="n"/>
      <c r="F84" s="18" t="inlineStr">
        <is>
          <t>R</t>
        </is>
      </c>
      <c r="G84" s="18">
        <f>IF(E84="","",IF(F84="F",E84,6-E84))</f>
        <v/>
      </c>
    </row>
    <row r="85">
      <c r="A85" s="23" t="n">
        <v>80</v>
      </c>
      <c r="B85" s="29" t="inlineStr">
        <is>
          <t>C4</t>
        </is>
      </c>
      <c r="C85" s="25" t="inlineStr">
        <is>
          <t>Do just enough work to get by</t>
        </is>
      </c>
      <c r="D85" s="26" t="inlineStr">
        <is>
          <t>Hago solo lo justo para salir del paso.</t>
        </is>
      </c>
      <c r="E85" s="22" t="n"/>
      <c r="F85" s="23" t="inlineStr">
        <is>
          <t>R</t>
        </is>
      </c>
      <c r="G85" s="23">
        <f>IF(E85="","",IF(F85="F",E85,6-E85))</f>
        <v/>
      </c>
    </row>
    <row r="86">
      <c r="A86" s="18" t="n">
        <v>81</v>
      </c>
      <c r="B86" s="19" t="inlineStr">
        <is>
          <t>N5</t>
        </is>
      </c>
      <c r="C86" s="20" t="inlineStr">
        <is>
          <t>Easily resist temptations</t>
        </is>
      </c>
      <c r="D86" s="21" t="inlineStr">
        <is>
          <t>Resisto las tentaciones con facilidad.</t>
        </is>
      </c>
      <c r="E86" s="22" t="n"/>
      <c r="F86" s="18" t="inlineStr">
        <is>
          <t>R</t>
        </is>
      </c>
      <c r="G86" s="18">
        <f>IF(E86="","",IF(F86="F",E86,6-E86))</f>
        <v/>
      </c>
    </row>
    <row r="87">
      <c r="A87" s="23" t="n">
        <v>82</v>
      </c>
      <c r="B87" s="24" t="inlineStr">
        <is>
          <t>E5</t>
        </is>
      </c>
      <c r="C87" s="25" t="inlineStr">
        <is>
          <t>Enjoy being reckless</t>
        </is>
      </c>
      <c r="D87" s="26" t="inlineStr">
        <is>
          <t>Disfruto ser imprudente.</t>
        </is>
      </c>
      <c r="E87" s="22" t="n"/>
      <c r="F87" s="23" t="inlineStr">
        <is>
          <t>F</t>
        </is>
      </c>
      <c r="G87" s="23">
        <f>IF(E87="","",IF(F87="F",E87,6-E87))</f>
        <v/>
      </c>
    </row>
    <row r="88">
      <c r="A88" s="18" t="n">
        <v>83</v>
      </c>
      <c r="B88" s="27" t="inlineStr">
        <is>
          <t>O5</t>
        </is>
      </c>
      <c r="C88" s="20" t="inlineStr">
        <is>
          <t>Have difficulty understanding abstract ideas</t>
        </is>
      </c>
      <c r="D88" s="21" t="inlineStr">
        <is>
          <t>Tengo dificultad para entender ideas abstractas.</t>
        </is>
      </c>
      <c r="E88" s="22" t="n"/>
      <c r="F88" s="18" t="inlineStr">
        <is>
          <t>R</t>
        </is>
      </c>
      <c r="G88" s="18">
        <f>IF(E88="","",IF(F88="F",E88,6-E88))</f>
        <v/>
      </c>
    </row>
    <row r="89">
      <c r="A89" s="23" t="n">
        <v>84</v>
      </c>
      <c r="B89" s="28" t="inlineStr">
        <is>
          <t>A5</t>
        </is>
      </c>
      <c r="C89" s="25" t="inlineStr">
        <is>
          <t>Have a high opinion of myself</t>
        </is>
      </c>
      <c r="D89" s="26" t="inlineStr">
        <is>
          <t>Tengo una alta opinión de mí mismo.</t>
        </is>
      </c>
      <c r="E89" s="22" t="n"/>
      <c r="F89" s="23" t="inlineStr">
        <is>
          <t>R</t>
        </is>
      </c>
      <c r="G89" s="23">
        <f>IF(E89="","",IF(F89="F",E89,6-E89))</f>
        <v/>
      </c>
    </row>
    <row r="90">
      <c r="A90" s="18" t="n">
        <v>85</v>
      </c>
      <c r="B90" s="29" t="inlineStr">
        <is>
          <t>C5</t>
        </is>
      </c>
      <c r="C90" s="20" t="inlineStr">
        <is>
          <t>Waste my time</t>
        </is>
      </c>
      <c r="D90" s="21" t="inlineStr">
        <is>
          <t>Pierdo el tiempo.</t>
        </is>
      </c>
      <c r="E90" s="22" t="n"/>
      <c r="F90" s="18" t="inlineStr">
        <is>
          <t>R</t>
        </is>
      </c>
      <c r="G90" s="18">
        <f>IF(E90="","",IF(F90="F",E90,6-E90))</f>
        <v/>
      </c>
    </row>
    <row r="91">
      <c r="A91" s="23" t="n">
        <v>86</v>
      </c>
      <c r="B91" s="19" t="inlineStr">
        <is>
          <t>N6</t>
        </is>
      </c>
      <c r="C91" s="25" t="inlineStr">
        <is>
          <t>Feel that I'm unable to deal with things</t>
        </is>
      </c>
      <c r="D91" s="26" t="inlineStr">
        <is>
          <t>Siento que no puedo lidiar con las cosas.</t>
        </is>
      </c>
      <c r="E91" s="22" t="n"/>
      <c r="F91" s="23" t="inlineStr">
        <is>
          <t>F</t>
        </is>
      </c>
      <c r="G91" s="23">
        <f>IF(E91="","",IF(F91="F",E91,6-E91))</f>
        <v/>
      </c>
    </row>
    <row r="92">
      <c r="A92" s="18" t="n">
        <v>87</v>
      </c>
      <c r="B92" s="24" t="inlineStr">
        <is>
          <t>E6</t>
        </is>
      </c>
      <c r="C92" s="20" t="inlineStr">
        <is>
          <t>Love life</t>
        </is>
      </c>
      <c r="D92" s="21" t="inlineStr">
        <is>
          <t>Amo la vida.</t>
        </is>
      </c>
      <c r="E92" s="22" t="n"/>
      <c r="F92" s="18" t="inlineStr">
        <is>
          <t>F</t>
        </is>
      </c>
      <c r="G92" s="18">
        <f>IF(E92="","",IF(F92="F",E92,6-E92))</f>
        <v/>
      </c>
    </row>
    <row r="93">
      <c r="A93" s="23" t="n">
        <v>88</v>
      </c>
      <c r="B93" s="27" t="inlineStr">
        <is>
          <t>O6</t>
        </is>
      </c>
      <c r="C93" s="25" t="inlineStr">
        <is>
          <t>Tend to vote for conservative political candidates</t>
        </is>
      </c>
      <c r="D93" s="26" t="inlineStr">
        <is>
          <t>Tiendo a votar por candidatos políticos conservadores.</t>
        </is>
      </c>
      <c r="E93" s="22" t="n"/>
      <c r="F93" s="23" t="inlineStr">
        <is>
          <t>R</t>
        </is>
      </c>
      <c r="G93" s="23">
        <f>IF(E93="","",IF(F93="F",E93,6-E93))</f>
        <v/>
      </c>
    </row>
    <row r="94">
      <c r="A94" s="18" t="n">
        <v>89</v>
      </c>
      <c r="B94" s="28" t="inlineStr">
        <is>
          <t>A6</t>
        </is>
      </c>
      <c r="C94" s="20" t="inlineStr">
        <is>
          <t>Am not interested in other people's problems</t>
        </is>
      </c>
      <c r="D94" s="21" t="inlineStr">
        <is>
          <t>No me interesan los problemas de los demás.</t>
        </is>
      </c>
      <c r="E94" s="22" t="n"/>
      <c r="F94" s="18" t="inlineStr">
        <is>
          <t>R</t>
        </is>
      </c>
      <c r="G94" s="18">
        <f>IF(E94="","",IF(F94="F",E94,6-E94))</f>
        <v/>
      </c>
    </row>
    <row r="95">
      <c r="A95" s="23" t="n">
        <v>90</v>
      </c>
      <c r="B95" s="29" t="inlineStr">
        <is>
          <t>C6</t>
        </is>
      </c>
      <c r="C95" s="25" t="inlineStr">
        <is>
          <t>Rush into things</t>
        </is>
      </c>
      <c r="D95" s="26" t="inlineStr">
        <is>
          <t>Me apresuro en las cosas.</t>
        </is>
      </c>
      <c r="E95" s="22" t="n"/>
      <c r="F95" s="23" t="inlineStr">
        <is>
          <t>R</t>
        </is>
      </c>
      <c r="G95" s="23">
        <f>IF(E95="","",IF(F95="F",E95,6-E95))</f>
        <v/>
      </c>
    </row>
    <row r="96">
      <c r="A96" s="18" t="n">
        <v>91</v>
      </c>
      <c r="B96" s="19" t="inlineStr">
        <is>
          <t>N1</t>
        </is>
      </c>
      <c r="C96" s="20" t="inlineStr">
        <is>
          <t>Get stressed out easily</t>
        </is>
      </c>
      <c r="D96" s="21" t="inlineStr">
        <is>
          <t>Me estreso con facilidad.</t>
        </is>
      </c>
      <c r="E96" s="22" t="n"/>
      <c r="F96" s="18" t="inlineStr">
        <is>
          <t>F</t>
        </is>
      </c>
      <c r="G96" s="18">
        <f>IF(E96="","",IF(F96="F",E96,6-E96))</f>
        <v/>
      </c>
    </row>
    <row r="97">
      <c r="A97" s="23" t="n">
        <v>92</v>
      </c>
      <c r="B97" s="24" t="inlineStr">
        <is>
          <t>E1</t>
        </is>
      </c>
      <c r="C97" s="25" t="inlineStr">
        <is>
          <t>Keep others at a distance</t>
        </is>
      </c>
      <c r="D97" s="26" t="inlineStr">
        <is>
          <t>Mantengo a los demás a distancia.</t>
        </is>
      </c>
      <c r="E97" s="22" t="n"/>
      <c r="F97" s="23" t="inlineStr">
        <is>
          <t>R</t>
        </is>
      </c>
      <c r="G97" s="23">
        <f>IF(E97="","",IF(F97="F",E97,6-E97))</f>
        <v/>
      </c>
    </row>
    <row r="98">
      <c r="A98" s="18" t="n">
        <v>93</v>
      </c>
      <c r="B98" s="27" t="inlineStr">
        <is>
          <t>O1</t>
        </is>
      </c>
      <c r="C98" s="20" t="inlineStr">
        <is>
          <t>Like to get lost in thought</t>
        </is>
      </c>
      <c r="D98" s="21" t="inlineStr">
        <is>
          <t>Me gusta perderme en mis pensamientos.</t>
        </is>
      </c>
      <c r="E98" s="22" t="n"/>
      <c r="F98" s="18" t="inlineStr">
        <is>
          <t>F</t>
        </is>
      </c>
      <c r="G98" s="18">
        <f>IF(E98="","",IF(F98="F",E98,6-E98))</f>
        <v/>
      </c>
    </row>
    <row r="99">
      <c r="A99" s="23" t="n">
        <v>94</v>
      </c>
      <c r="B99" s="28" t="inlineStr">
        <is>
          <t>A1</t>
        </is>
      </c>
      <c r="C99" s="25" t="inlineStr">
        <is>
          <t>Distrust people</t>
        </is>
      </c>
      <c r="D99" s="26" t="inlineStr">
        <is>
          <t>Desconfío de la gente.</t>
        </is>
      </c>
      <c r="E99" s="22" t="n"/>
      <c r="F99" s="23" t="inlineStr">
        <is>
          <t>R</t>
        </is>
      </c>
      <c r="G99" s="23">
        <f>IF(E99="","",IF(F99="F",E99,6-E99))</f>
        <v/>
      </c>
    </row>
    <row r="100">
      <c r="A100" s="18" t="n">
        <v>95</v>
      </c>
      <c r="B100" s="29" t="inlineStr">
        <is>
          <t>C1</t>
        </is>
      </c>
      <c r="C100" s="20" t="inlineStr">
        <is>
          <t>Know how to get things done</t>
        </is>
      </c>
      <c r="D100" s="21" t="inlineStr">
        <is>
          <t>Sé cómo hacer que las cosas se hagan.</t>
        </is>
      </c>
      <c r="E100" s="22" t="n"/>
      <c r="F100" s="18" t="inlineStr">
        <is>
          <t>F</t>
        </is>
      </c>
      <c r="G100" s="18">
        <f>IF(E100="","",IF(F100="F",E100,6-E100))</f>
        <v/>
      </c>
    </row>
    <row r="101">
      <c r="A101" s="23" t="n">
        <v>96</v>
      </c>
      <c r="B101" s="19" t="inlineStr">
        <is>
          <t>N2</t>
        </is>
      </c>
      <c r="C101" s="25" t="inlineStr">
        <is>
          <t>Am not easily annoyed</t>
        </is>
      </c>
      <c r="D101" s="26" t="inlineStr">
        <is>
          <t>No me irrito fácilmente.</t>
        </is>
      </c>
      <c r="E101" s="22" t="n"/>
      <c r="F101" s="23" t="inlineStr">
        <is>
          <t>R</t>
        </is>
      </c>
      <c r="G101" s="23">
        <f>IF(E101="","",IF(F101="F",E101,6-E101))</f>
        <v/>
      </c>
    </row>
    <row r="102">
      <c r="A102" s="18" t="n">
        <v>97</v>
      </c>
      <c r="B102" s="24" t="inlineStr">
        <is>
          <t>E2</t>
        </is>
      </c>
      <c r="C102" s="20" t="inlineStr">
        <is>
          <t>Avoid crowds</t>
        </is>
      </c>
      <c r="D102" s="21" t="inlineStr">
        <is>
          <t>Evito las multitudes.</t>
        </is>
      </c>
      <c r="E102" s="22" t="n"/>
      <c r="F102" s="18" t="inlineStr">
        <is>
          <t>R</t>
        </is>
      </c>
      <c r="G102" s="18">
        <f>IF(E102="","",IF(F102="F",E102,6-E102))</f>
        <v/>
      </c>
    </row>
    <row r="103">
      <c r="A103" s="23" t="n">
        <v>98</v>
      </c>
      <c r="B103" s="27" t="inlineStr">
        <is>
          <t>O2</t>
        </is>
      </c>
      <c r="C103" s="25" t="inlineStr">
        <is>
          <t>Do not enjoy going to art museums</t>
        </is>
      </c>
      <c r="D103" s="26" t="inlineStr">
        <is>
          <t>No disfruto ir a museos de arte.</t>
        </is>
      </c>
      <c r="E103" s="22" t="n"/>
      <c r="F103" s="23" t="inlineStr">
        <is>
          <t>R</t>
        </is>
      </c>
      <c r="G103" s="23">
        <f>IF(E103="","",IF(F103="F",E103,6-E103))</f>
        <v/>
      </c>
    </row>
    <row r="104">
      <c r="A104" s="18" t="n">
        <v>99</v>
      </c>
      <c r="B104" s="28" t="inlineStr">
        <is>
          <t>A2</t>
        </is>
      </c>
      <c r="C104" s="20" t="inlineStr">
        <is>
          <t>Obstruct others' plans</t>
        </is>
      </c>
      <c r="D104" s="21" t="inlineStr">
        <is>
          <t>Obstruyo los planes de los demás.</t>
        </is>
      </c>
      <c r="E104" s="22" t="n"/>
      <c r="F104" s="18" t="inlineStr">
        <is>
          <t>R</t>
        </is>
      </c>
      <c r="G104" s="18">
        <f>IF(E104="","",IF(F104="F",E104,6-E104))</f>
        <v/>
      </c>
    </row>
    <row r="105">
      <c r="A105" s="23" t="n">
        <v>100</v>
      </c>
      <c r="B105" s="29" t="inlineStr">
        <is>
          <t>C2</t>
        </is>
      </c>
      <c r="C105" s="25" t="inlineStr">
        <is>
          <t>Leave my belongings around</t>
        </is>
      </c>
      <c r="D105" s="26" t="inlineStr">
        <is>
          <t>Dejo mis pertenencias por ahí.</t>
        </is>
      </c>
      <c r="E105" s="22" t="n"/>
      <c r="F105" s="23" t="inlineStr">
        <is>
          <t>R</t>
        </is>
      </c>
      <c r="G105" s="23">
        <f>IF(E105="","",IF(F105="F",E105,6-E105))</f>
        <v/>
      </c>
    </row>
    <row r="106">
      <c r="A106" s="18" t="n">
        <v>101</v>
      </c>
      <c r="B106" s="19" t="inlineStr">
        <is>
          <t>N3</t>
        </is>
      </c>
      <c r="C106" s="20" t="inlineStr">
        <is>
          <t>Feel comfortable with myself</t>
        </is>
      </c>
      <c r="D106" s="21" t="inlineStr">
        <is>
          <t>Me siento cómodo conmigo mismo.</t>
        </is>
      </c>
      <c r="E106" s="22" t="n"/>
      <c r="F106" s="18" t="inlineStr">
        <is>
          <t>R</t>
        </is>
      </c>
      <c r="G106" s="18">
        <f>IF(E106="","",IF(F106="F",E106,6-E106))</f>
        <v/>
      </c>
    </row>
    <row r="107">
      <c r="A107" s="23" t="n">
        <v>102</v>
      </c>
      <c r="B107" s="24" t="inlineStr">
        <is>
          <t>E3</t>
        </is>
      </c>
      <c r="C107" s="25" t="inlineStr">
        <is>
          <t>Wait for others to lead the way</t>
        </is>
      </c>
      <c r="D107" s="26" t="inlineStr">
        <is>
          <t>Espero a que otros lideren el camino.</t>
        </is>
      </c>
      <c r="E107" s="22" t="n"/>
      <c r="F107" s="23" t="inlineStr">
        <is>
          <t>R</t>
        </is>
      </c>
      <c r="G107" s="23">
        <f>IF(E107="","",IF(F107="F",E107,6-E107))</f>
        <v/>
      </c>
    </row>
    <row r="108">
      <c r="A108" s="18" t="n">
        <v>103</v>
      </c>
      <c r="B108" s="27" t="inlineStr">
        <is>
          <t>O3</t>
        </is>
      </c>
      <c r="C108" s="20" t="inlineStr">
        <is>
          <t>Don't understand people who get emotional</t>
        </is>
      </c>
      <c r="D108" s="21" t="inlineStr">
        <is>
          <t>No entiendo a la gente que se emociona.</t>
        </is>
      </c>
      <c r="E108" s="22" t="n"/>
      <c r="F108" s="18" t="inlineStr">
        <is>
          <t>R</t>
        </is>
      </c>
      <c r="G108" s="18">
        <f>IF(E108="","",IF(F108="F",E108,6-E108))</f>
        <v/>
      </c>
    </row>
    <row r="109">
      <c r="A109" s="23" t="n">
        <v>104</v>
      </c>
      <c r="B109" s="28" t="inlineStr">
        <is>
          <t>A3</t>
        </is>
      </c>
      <c r="C109" s="25" t="inlineStr">
        <is>
          <t>Take no time for others</t>
        </is>
      </c>
      <c r="D109" s="26" t="inlineStr">
        <is>
          <t>No dedico tiempo a los demás.</t>
        </is>
      </c>
      <c r="E109" s="22" t="n"/>
      <c r="F109" s="23" t="inlineStr">
        <is>
          <t>R</t>
        </is>
      </c>
      <c r="G109" s="23">
        <f>IF(E109="","",IF(F109="F",E109,6-E109))</f>
        <v/>
      </c>
    </row>
    <row r="110">
      <c r="A110" s="18" t="n">
        <v>105</v>
      </c>
      <c r="B110" s="29" t="inlineStr">
        <is>
          <t>C3</t>
        </is>
      </c>
      <c r="C110" s="20" t="inlineStr">
        <is>
          <t>Break my promises</t>
        </is>
      </c>
      <c r="D110" s="21" t="inlineStr">
        <is>
          <t>Rompo mis promesas.</t>
        </is>
      </c>
      <c r="E110" s="22" t="n"/>
      <c r="F110" s="18" t="inlineStr">
        <is>
          <t>R</t>
        </is>
      </c>
      <c r="G110" s="18">
        <f>IF(E110="","",IF(F110="F",E110,6-E110))</f>
        <v/>
      </c>
    </row>
    <row r="111">
      <c r="A111" s="23" t="n">
        <v>106</v>
      </c>
      <c r="B111" s="19" t="inlineStr">
        <is>
          <t>N4</t>
        </is>
      </c>
      <c r="C111" s="25" t="inlineStr">
        <is>
          <t>Am not bothered by difficult social situations</t>
        </is>
      </c>
      <c r="D111" s="26" t="inlineStr">
        <is>
          <t>No me molestan las situaciones sociales difíciles.</t>
        </is>
      </c>
      <c r="E111" s="22" t="n"/>
      <c r="F111" s="23" t="inlineStr">
        <is>
          <t>R</t>
        </is>
      </c>
      <c r="G111" s="23">
        <f>IF(E111="","",IF(F111="F",E111,6-E111))</f>
        <v/>
      </c>
    </row>
    <row r="112">
      <c r="A112" s="18" t="n">
        <v>107</v>
      </c>
      <c r="B112" s="24" t="inlineStr">
        <is>
          <t>E4</t>
        </is>
      </c>
      <c r="C112" s="20" t="inlineStr">
        <is>
          <t>Like to take it easy</t>
        </is>
      </c>
      <c r="D112" s="21" t="inlineStr">
        <is>
          <t>Me gusta tomármelo con calma.</t>
        </is>
      </c>
      <c r="E112" s="22" t="n"/>
      <c r="F112" s="18" t="inlineStr">
        <is>
          <t>R</t>
        </is>
      </c>
      <c r="G112" s="18">
        <f>IF(E112="","",IF(F112="F",E112,6-E112))</f>
        <v/>
      </c>
    </row>
    <row r="113">
      <c r="A113" s="23" t="n">
        <v>108</v>
      </c>
      <c r="B113" s="27" t="inlineStr">
        <is>
          <t>O4</t>
        </is>
      </c>
      <c r="C113" s="25" t="inlineStr">
        <is>
          <t>Am attached to conventional ways</t>
        </is>
      </c>
      <c r="D113" s="26" t="inlineStr">
        <is>
          <t>Estoy apegado a las formas convencionales.</t>
        </is>
      </c>
      <c r="E113" s="22" t="n"/>
      <c r="F113" s="23" t="inlineStr">
        <is>
          <t>R</t>
        </is>
      </c>
      <c r="G113" s="23">
        <f>IF(E113="","",IF(F113="F",E113,6-E113))</f>
        <v/>
      </c>
    </row>
    <row r="114">
      <c r="A114" s="18" t="n">
        <v>109</v>
      </c>
      <c r="B114" s="28" t="inlineStr">
        <is>
          <t>A4</t>
        </is>
      </c>
      <c r="C114" s="20" t="inlineStr">
        <is>
          <t>Get back at others</t>
        </is>
      </c>
      <c r="D114" s="21" t="inlineStr">
        <is>
          <t>Me vengo de los demás.</t>
        </is>
      </c>
      <c r="E114" s="22" t="n"/>
      <c r="F114" s="18" t="inlineStr">
        <is>
          <t>R</t>
        </is>
      </c>
      <c r="G114" s="18">
        <f>IF(E114="","",IF(F114="F",E114,6-E114))</f>
        <v/>
      </c>
    </row>
    <row r="115">
      <c r="A115" s="23" t="n">
        <v>110</v>
      </c>
      <c r="B115" s="29" t="inlineStr">
        <is>
          <t>C4</t>
        </is>
      </c>
      <c r="C115" s="25" t="inlineStr">
        <is>
          <t>Put little time and effort into my work</t>
        </is>
      </c>
      <c r="D115" s="26" t="inlineStr">
        <is>
          <t>Le dedico poco tiempo y esfuerzo a mi trabajo.</t>
        </is>
      </c>
      <c r="E115" s="22" t="n"/>
      <c r="F115" s="23" t="inlineStr">
        <is>
          <t>R</t>
        </is>
      </c>
      <c r="G115" s="23">
        <f>IF(E115="","",IF(F115="F",E115,6-E115))</f>
        <v/>
      </c>
    </row>
    <row r="116">
      <c r="A116" s="18" t="n">
        <v>111</v>
      </c>
      <c r="B116" s="19" t="inlineStr">
        <is>
          <t>N5</t>
        </is>
      </c>
      <c r="C116" s="20" t="inlineStr">
        <is>
          <t>Am able to control my cravings</t>
        </is>
      </c>
      <c r="D116" s="21" t="inlineStr">
        <is>
          <t>Soy capaz de controlar mis antojos.</t>
        </is>
      </c>
      <c r="E116" s="22" t="n"/>
      <c r="F116" s="18" t="inlineStr">
        <is>
          <t>R</t>
        </is>
      </c>
      <c r="G116" s="18">
        <f>IF(E116="","",IF(F116="F",E116,6-E116))</f>
        <v/>
      </c>
    </row>
    <row r="117">
      <c r="A117" s="23" t="n">
        <v>112</v>
      </c>
      <c r="B117" s="24" t="inlineStr">
        <is>
          <t>E5</t>
        </is>
      </c>
      <c r="C117" s="25" t="inlineStr">
        <is>
          <t>Act wild and crazy</t>
        </is>
      </c>
      <c r="D117" s="26" t="inlineStr">
        <is>
          <t>Actúo alocada y salvajemente.</t>
        </is>
      </c>
      <c r="E117" s="22" t="n"/>
      <c r="F117" s="23" t="inlineStr">
        <is>
          <t>F</t>
        </is>
      </c>
      <c r="G117" s="23">
        <f>IF(E117="","",IF(F117="F",E117,6-E117))</f>
        <v/>
      </c>
    </row>
    <row r="118">
      <c r="A118" s="18" t="n">
        <v>113</v>
      </c>
      <c r="B118" s="27" t="inlineStr">
        <is>
          <t>O5</t>
        </is>
      </c>
      <c r="C118" s="20" t="inlineStr">
        <is>
          <t>Am not interested in theoretical discussions</t>
        </is>
      </c>
      <c r="D118" s="21" t="inlineStr">
        <is>
          <t>No me interesan las discusiones teóricas.</t>
        </is>
      </c>
      <c r="E118" s="22" t="n"/>
      <c r="F118" s="18" t="inlineStr">
        <is>
          <t>R</t>
        </is>
      </c>
      <c r="G118" s="18">
        <f>IF(E118="","",IF(F118="F",E118,6-E118))</f>
        <v/>
      </c>
    </row>
    <row r="119">
      <c r="A119" s="23" t="n">
        <v>114</v>
      </c>
      <c r="B119" s="28" t="inlineStr">
        <is>
          <t>A5</t>
        </is>
      </c>
      <c r="C119" s="25" t="inlineStr">
        <is>
          <t>Boast about my virtues</t>
        </is>
      </c>
      <c r="D119" s="26" t="inlineStr">
        <is>
          <t>Presumo mis virtudes.</t>
        </is>
      </c>
      <c r="E119" s="22" t="n"/>
      <c r="F119" s="23" t="inlineStr">
        <is>
          <t>R</t>
        </is>
      </c>
      <c r="G119" s="23">
        <f>IF(E119="","",IF(F119="F",E119,6-E119))</f>
        <v/>
      </c>
    </row>
    <row r="120">
      <c r="A120" s="18" t="n">
        <v>115</v>
      </c>
      <c r="B120" s="29" t="inlineStr">
        <is>
          <t>C5</t>
        </is>
      </c>
      <c r="C120" s="20" t="inlineStr">
        <is>
          <t>Have difficulty starting tasks</t>
        </is>
      </c>
      <c r="D120" s="21" t="inlineStr">
        <is>
          <t>Me cuesta comenzar las tareas.</t>
        </is>
      </c>
      <c r="E120" s="22" t="n"/>
      <c r="F120" s="18" t="inlineStr">
        <is>
          <t>R</t>
        </is>
      </c>
      <c r="G120" s="18">
        <f>IF(E120="","",IF(F120="F",E120,6-E120))</f>
        <v/>
      </c>
    </row>
    <row r="121">
      <c r="A121" s="23" t="n">
        <v>116</v>
      </c>
      <c r="B121" s="19" t="inlineStr">
        <is>
          <t>N6</t>
        </is>
      </c>
      <c r="C121" s="25" t="inlineStr">
        <is>
          <t>Remain calm under pressure</t>
        </is>
      </c>
      <c r="D121" s="26" t="inlineStr">
        <is>
          <t>Me mantengo en calma bajo presión.</t>
        </is>
      </c>
      <c r="E121" s="22" t="n"/>
      <c r="F121" s="23" t="inlineStr">
        <is>
          <t>R</t>
        </is>
      </c>
      <c r="G121" s="23">
        <f>IF(E121="","",IF(F121="F",E121,6-E121))</f>
        <v/>
      </c>
    </row>
    <row r="122">
      <c r="A122" s="18" t="n">
        <v>117</v>
      </c>
      <c r="B122" s="24" t="inlineStr">
        <is>
          <t>E6</t>
        </is>
      </c>
      <c r="C122" s="20" t="inlineStr">
        <is>
          <t>Look at the bright side of life</t>
        </is>
      </c>
      <c r="D122" s="21" t="inlineStr">
        <is>
          <t>Miro el lado bueno de la vida.</t>
        </is>
      </c>
      <c r="E122" s="22" t="n"/>
      <c r="F122" s="18" t="inlineStr">
        <is>
          <t>F</t>
        </is>
      </c>
      <c r="G122" s="18">
        <f>IF(E122="","",IF(F122="F",E122,6-E122))</f>
        <v/>
      </c>
    </row>
    <row r="123">
      <c r="A123" s="23" t="n">
        <v>118</v>
      </c>
      <c r="B123" s="27" t="inlineStr">
        <is>
          <t>O6</t>
        </is>
      </c>
      <c r="C123" s="25" t="inlineStr">
        <is>
          <t>Believe that we should be tough on crime</t>
        </is>
      </c>
      <c r="D123" s="26" t="inlineStr">
        <is>
          <t>Creo que debemos ser duros con el crimen.</t>
        </is>
      </c>
      <c r="E123" s="22" t="n"/>
      <c r="F123" s="23" t="inlineStr">
        <is>
          <t>R</t>
        </is>
      </c>
      <c r="G123" s="23">
        <f>IF(E123="","",IF(F123="F",E123,6-E123))</f>
        <v/>
      </c>
    </row>
    <row r="124">
      <c r="A124" s="18" t="n">
        <v>119</v>
      </c>
      <c r="B124" s="28" t="inlineStr">
        <is>
          <t>A6</t>
        </is>
      </c>
      <c r="C124" s="20" t="inlineStr">
        <is>
          <t>Try not to think about the needy</t>
        </is>
      </c>
      <c r="D124" s="21" t="inlineStr">
        <is>
          <t>Trato de no pensar en los necesitados.</t>
        </is>
      </c>
      <c r="E124" s="22" t="n"/>
      <c r="F124" s="18" t="inlineStr">
        <is>
          <t>R</t>
        </is>
      </c>
      <c r="G124" s="18">
        <f>IF(E124="","",IF(F124="F",E124,6-E124))</f>
        <v/>
      </c>
    </row>
    <row r="125">
      <c r="A125" s="23" t="n">
        <v>120</v>
      </c>
      <c r="B125" s="29" t="inlineStr">
        <is>
          <t>C6</t>
        </is>
      </c>
      <c r="C125" s="25" t="inlineStr">
        <is>
          <t>Act without thinking</t>
        </is>
      </c>
      <c r="D125" s="26" t="inlineStr">
        <is>
          <t>Actúo sin pensar.</t>
        </is>
      </c>
      <c r="E125" s="22" t="n"/>
      <c r="F125" s="23" t="inlineStr">
        <is>
          <t>R</t>
        </is>
      </c>
      <c r="G125" s="23">
        <f>IF(E125="","",IF(F125="F",E125,6-E125))</f>
        <v/>
      </c>
    </row>
  </sheetData>
  <mergeCells count="1">
    <mergeCell ref="C1:D1"/>
  </mergeCells>
  <conditionalFormatting sqref="E6:E125">
    <cfRule type="expression" priority="1" dxfId="0">
      <formula>ISBLANK(E6)</formula>
    </cfRule>
  </conditionalFormatting>
  <dataValidations count="3">
    <dataValidation sqref="B2" showDropDown="0" showInputMessage="0" showErrorMessage="0" allowBlank="0" type="list">
      <formula1>"M,F"</formula1>
    </dataValidation>
    <dataValidation sqref="B3" showDropDown="0" showInputMessage="0" showErrorMessage="0" allowBlank="0" type="whole" operator="between">
      <formula1>10</formula1>
      <formula2>95</formula2>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showDropDown="0" showInputMessage="0" showErrorMessage="0" allowBlank="1" errorTitle="Valor inválido" error="Ingresa un número del 1 al 5." type="whole" operator="between">
      <formula1>1</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30" t="inlineStr">
        <is>
          <t>Tablas de normas — Johnson (2014)</t>
        </is>
      </c>
    </row>
    <row r="2">
      <c r="A2" s="31" t="inlineStr">
        <is>
          <t>Media y desviación estándar por grupo Sexo × Edad · 30 facetas + 5 dominios</t>
        </is>
      </c>
    </row>
    <row r="3" ht="26" customHeight="1">
      <c r="A3" s="17" t="inlineStr">
        <is>
          <t>Escala</t>
        </is>
      </c>
      <c r="B3" s="17" t="inlineStr">
        <is>
          <t>M_10-20 media</t>
        </is>
      </c>
      <c r="C3" s="17" t="inlineStr">
        <is>
          <t>M_10-20 DE</t>
        </is>
      </c>
      <c r="D3" s="17" t="inlineStr">
        <is>
          <t>M_21-40 media</t>
        </is>
      </c>
      <c r="E3" s="17" t="inlineStr">
        <is>
          <t>M_21-40 DE</t>
        </is>
      </c>
      <c r="F3" s="17" t="inlineStr">
        <is>
          <t>M_41-60 media</t>
        </is>
      </c>
      <c r="G3" s="17" t="inlineStr">
        <is>
          <t>M_41-60 DE</t>
        </is>
      </c>
      <c r="H3" s="17" t="inlineStr">
        <is>
          <t>M_61-95 media</t>
        </is>
      </c>
      <c r="I3" s="17" t="inlineStr">
        <is>
          <t>M_61-95 DE</t>
        </is>
      </c>
      <c r="J3" s="17" t="inlineStr">
        <is>
          <t>F_10-20 media</t>
        </is>
      </c>
      <c r="K3" s="17" t="inlineStr">
        <is>
          <t>F_10-20 DE</t>
        </is>
      </c>
      <c r="L3" s="17" t="inlineStr">
        <is>
          <t>F_21-40 media</t>
        </is>
      </c>
      <c r="M3" s="17" t="inlineStr">
        <is>
          <t>F_21-40 DE</t>
        </is>
      </c>
      <c r="N3" s="17" t="inlineStr">
        <is>
          <t>F_41-60 media</t>
        </is>
      </c>
      <c r="O3" s="17" t="inlineStr">
        <is>
          <t>F_41-60 DE</t>
        </is>
      </c>
      <c r="P3" s="17" t="inlineStr">
        <is>
          <t>F_61-95 media</t>
        </is>
      </c>
      <c r="Q3" s="17" t="inlineStr">
        <is>
          <t>F_61-95 DE</t>
        </is>
      </c>
    </row>
    <row r="4">
      <c r="A4" s="32" t="inlineStr">
        <is>
          <t>N1</t>
        </is>
      </c>
      <c r="B4" s="32" t="n">
        <v>11.673</v>
      </c>
      <c r="C4" s="32" t="n">
        <v>3.754</v>
      </c>
      <c r="D4" s="32" t="n">
        <v>11.381</v>
      </c>
      <c r="E4" s="32" t="n">
        <v>3.791</v>
      </c>
      <c r="F4" s="32" t="n">
        <v>10.653</v>
      </c>
      <c r="G4" s="32" t="n">
        <v>3.591</v>
      </c>
      <c r="H4" s="32" t="n">
        <v>10.706</v>
      </c>
      <c r="I4" s="32" t="n">
        <v>4.342</v>
      </c>
      <c r="J4" s="32" t="n">
        <v>13.352</v>
      </c>
      <c r="K4" s="32" t="n">
        <v>3.657</v>
      </c>
      <c r="L4" s="32" t="n">
        <v>13.167</v>
      </c>
      <c r="M4" s="32" t="n">
        <v>3.706</v>
      </c>
      <c r="N4" s="32" t="n">
        <v>12.038</v>
      </c>
      <c r="O4" s="32" t="n">
        <v>3.745</v>
      </c>
      <c r="P4" s="32" t="n">
        <v>11.78</v>
      </c>
      <c r="Q4" s="32" t="n">
        <v>3.933</v>
      </c>
    </row>
    <row r="5">
      <c r="A5" s="33" t="inlineStr">
        <is>
          <t>N2</t>
        </is>
      </c>
      <c r="B5" s="33" t="n">
        <v>11.862</v>
      </c>
      <c r="C5" s="33" t="n">
        <v>4.428</v>
      </c>
      <c r="D5" s="33" t="n">
        <v>11.7</v>
      </c>
      <c r="E5" s="33" t="n">
        <v>4.328</v>
      </c>
      <c r="F5" s="33" t="n">
        <v>11.586</v>
      </c>
      <c r="G5" s="33" t="n">
        <v>4.155</v>
      </c>
      <c r="H5" s="33" t="n">
        <v>12.04</v>
      </c>
      <c r="I5" s="33" t="n">
        <v>4.686</v>
      </c>
      <c r="J5" s="33" t="n">
        <v>13.093</v>
      </c>
      <c r="K5" s="33" t="n">
        <v>4.184</v>
      </c>
      <c r="L5" s="33" t="n">
        <v>12.767</v>
      </c>
      <c r="M5" s="33" t="n">
        <v>4.14</v>
      </c>
      <c r="N5" s="33" t="n">
        <v>11.214</v>
      </c>
      <c r="O5" s="33" t="n">
        <v>4.057</v>
      </c>
      <c r="P5" s="33" t="n">
        <v>10.99</v>
      </c>
      <c r="Q5" s="33" t="n">
        <v>3.952</v>
      </c>
    </row>
    <row r="6">
      <c r="A6" s="32" t="inlineStr">
        <is>
          <t>N3</t>
        </is>
      </c>
      <c r="B6" s="32" t="n">
        <v>10.529</v>
      </c>
      <c r="C6" s="32" t="n">
        <v>4.231</v>
      </c>
      <c r="D6" s="32" t="n">
        <v>10.357</v>
      </c>
      <c r="E6" s="32" t="n">
        <v>4.123</v>
      </c>
      <c r="F6" s="32" t="n">
        <v>9.675000000000001</v>
      </c>
      <c r="G6" s="32" t="n">
        <v>3.894</v>
      </c>
      <c r="H6" s="32" t="n">
        <v>8.308</v>
      </c>
      <c r="I6" s="32" t="n">
        <v>4.3</v>
      </c>
      <c r="J6" s="32" t="n">
        <v>11.1</v>
      </c>
      <c r="K6" s="32" t="n">
        <v>4.19</v>
      </c>
      <c r="L6" s="32" t="n">
        <v>10.822</v>
      </c>
      <c r="M6" s="32" t="n">
        <v>4.083</v>
      </c>
      <c r="N6" s="32" t="n">
        <v>10.152</v>
      </c>
      <c r="O6" s="32" t="n">
        <v>4.036</v>
      </c>
      <c r="P6" s="32" t="n">
        <v>9.1</v>
      </c>
      <c r="Q6" s="32" t="n">
        <v>3.773</v>
      </c>
    </row>
    <row r="7">
      <c r="A7" s="33" t="inlineStr">
        <is>
          <t>N4</t>
        </is>
      </c>
      <c r="B7" s="33" t="n">
        <v>12.386</v>
      </c>
      <c r="C7" s="33" t="n">
        <v>3.819</v>
      </c>
      <c r="D7" s="33" t="n">
        <v>12.028</v>
      </c>
      <c r="E7" s="33" t="n">
        <v>3.827</v>
      </c>
      <c r="F7" s="33" t="n">
        <v>11.675</v>
      </c>
      <c r="G7" s="33" t="n">
        <v>3.668</v>
      </c>
      <c r="H7" s="33" t="n">
        <v>11.62</v>
      </c>
      <c r="I7" s="33" t="n">
        <v>4.213</v>
      </c>
      <c r="J7" s="33" t="n">
        <v>12.208</v>
      </c>
      <c r="K7" s="33" t="n">
        <v>3.839</v>
      </c>
      <c r="L7" s="33" t="n">
        <v>12.243</v>
      </c>
      <c r="M7" s="33" t="n">
        <v>3.809</v>
      </c>
      <c r="N7" s="33" t="n">
        <v>12.055</v>
      </c>
      <c r="O7" s="33" t="n">
        <v>3.765</v>
      </c>
      <c r="P7" s="33" t="n">
        <v>12.03</v>
      </c>
      <c r="Q7" s="33" t="n">
        <v>3.878</v>
      </c>
    </row>
    <row r="8">
      <c r="A8" s="32" t="inlineStr">
        <is>
          <t>N5</t>
        </is>
      </c>
      <c r="B8" s="32" t="n">
        <v>11.626</v>
      </c>
      <c r="C8" s="32" t="n">
        <v>3.263</v>
      </c>
      <c r="D8" s="32" t="n">
        <v>12.184</v>
      </c>
      <c r="E8" s="32" t="n">
        <v>3.532</v>
      </c>
      <c r="F8" s="32" t="n">
        <v>11.282</v>
      </c>
      <c r="G8" s="32" t="n">
        <v>3.601</v>
      </c>
      <c r="H8" s="32" t="n">
        <v>10.64</v>
      </c>
      <c r="I8" s="32" t="n">
        <v>3.613</v>
      </c>
      <c r="J8" s="32" t="n">
        <v>12.435</v>
      </c>
      <c r="K8" s="32" t="n">
        <v>3.333</v>
      </c>
      <c r="L8" s="32" t="n">
        <v>12.762</v>
      </c>
      <c r="M8" s="32" t="n">
        <v>3.604</v>
      </c>
      <c r="N8" s="32" t="n">
        <v>11.979</v>
      </c>
      <c r="O8" s="32" t="n">
        <v>3.796</v>
      </c>
      <c r="P8" s="32" t="n">
        <v>10.029</v>
      </c>
      <c r="Q8" s="32" t="n">
        <v>3.679</v>
      </c>
    </row>
    <row r="9">
      <c r="A9" s="33" t="inlineStr">
        <is>
          <t>N6</t>
        </is>
      </c>
      <c r="B9" s="33" t="n">
        <v>9.568</v>
      </c>
      <c r="C9" s="33" t="n">
        <v>3.352</v>
      </c>
      <c r="D9" s="33" t="n">
        <v>9.023999999999999</v>
      </c>
      <c r="E9" s="33" t="n">
        <v>3.529</v>
      </c>
      <c r="F9" s="33" t="n">
        <v>8.603</v>
      </c>
      <c r="G9" s="33" t="n">
        <v>3.397</v>
      </c>
      <c r="H9" s="33" t="n">
        <v>9.49</v>
      </c>
      <c r="I9" s="33" t="n">
        <v>4.291</v>
      </c>
      <c r="J9" s="33" t="n">
        <v>11.286</v>
      </c>
      <c r="K9" s="33" t="n">
        <v>3.498</v>
      </c>
      <c r="L9" s="33" t="n">
        <v>10.751</v>
      </c>
      <c r="M9" s="33" t="n">
        <v>3.672</v>
      </c>
      <c r="N9" s="33" t="n">
        <v>10.155</v>
      </c>
      <c r="O9" s="33" t="n">
        <v>3.614</v>
      </c>
      <c r="P9" s="33" t="n">
        <v>10.21</v>
      </c>
      <c r="Q9" s="33" t="n">
        <v>3.655</v>
      </c>
    </row>
    <row r="10">
      <c r="A10" s="32" t="inlineStr">
        <is>
          <t>E1</t>
        </is>
      </c>
      <c r="B10" s="32" t="n">
        <v>13.751</v>
      </c>
      <c r="C10" s="32" t="n">
        <v>3.785</v>
      </c>
      <c r="D10" s="32" t="n">
        <v>13.376</v>
      </c>
      <c r="E10" s="32" t="n">
        <v>3.846</v>
      </c>
      <c r="F10" s="32" t="n">
        <v>13.37</v>
      </c>
      <c r="G10" s="32" t="n">
        <v>3.734</v>
      </c>
      <c r="H10" s="32" t="n">
        <v>14.327</v>
      </c>
      <c r="I10" s="32" t="n">
        <v>3.974</v>
      </c>
      <c r="J10" s="32" t="n">
        <v>14.395</v>
      </c>
      <c r="K10" s="32" t="n">
        <v>3.648</v>
      </c>
      <c r="L10" s="32" t="n">
        <v>14.032</v>
      </c>
      <c r="M10" s="32" t="n">
        <v>3.692</v>
      </c>
      <c r="N10" s="32" t="n">
        <v>14.191</v>
      </c>
      <c r="O10" s="32" t="n">
        <v>3.758</v>
      </c>
      <c r="P10" s="32" t="n">
        <v>14.794</v>
      </c>
      <c r="Q10" s="32" t="n">
        <v>3.616</v>
      </c>
    </row>
    <row r="11">
      <c r="A11" s="33" t="inlineStr">
        <is>
          <t>E2</t>
        </is>
      </c>
      <c r="B11" s="33" t="n">
        <v>12.236</v>
      </c>
      <c r="C11" s="33" t="n">
        <v>4.166</v>
      </c>
      <c r="D11" s="33" t="n">
        <v>11.402</v>
      </c>
      <c r="E11" s="33" t="n">
        <v>4.049</v>
      </c>
      <c r="F11" s="33" t="n">
        <v>10.517</v>
      </c>
      <c r="G11" s="33" t="n">
        <v>3.721</v>
      </c>
      <c r="H11" s="33" t="n">
        <v>11</v>
      </c>
      <c r="I11" s="33" t="n">
        <v>3.768</v>
      </c>
      <c r="J11" s="33" t="n">
        <v>12.991</v>
      </c>
      <c r="K11" s="33" t="n">
        <v>4.167</v>
      </c>
      <c r="L11" s="33" t="n">
        <v>11.9</v>
      </c>
      <c r="M11" s="33" t="n">
        <v>4.091</v>
      </c>
      <c r="N11" s="33" t="n">
        <v>10.785</v>
      </c>
      <c r="O11" s="33" t="n">
        <v>3.876</v>
      </c>
      <c r="P11" s="33" t="n">
        <v>10.257</v>
      </c>
      <c r="Q11" s="33" t="n">
        <v>3.738</v>
      </c>
    </row>
    <row r="12">
      <c r="A12" s="32" t="inlineStr">
        <is>
          <t>E3</t>
        </is>
      </c>
      <c r="B12" s="32" t="n">
        <v>14.074</v>
      </c>
      <c r="C12" s="32" t="n">
        <v>3.675</v>
      </c>
      <c r="D12" s="32" t="n">
        <v>14.706</v>
      </c>
      <c r="E12" s="32" t="n">
        <v>3.59</v>
      </c>
      <c r="F12" s="32" t="n">
        <v>14.993</v>
      </c>
      <c r="G12" s="32" t="n">
        <v>3.552</v>
      </c>
      <c r="H12" s="32" t="n">
        <v>14.647</v>
      </c>
      <c r="I12" s="32" t="n">
        <v>3.851</v>
      </c>
      <c r="J12" s="32" t="n">
        <v>13.974</v>
      </c>
      <c r="K12" s="32" t="n">
        <v>3.691</v>
      </c>
      <c r="L12" s="32" t="n">
        <v>14.198</v>
      </c>
      <c r="M12" s="32" t="n">
        <v>3.638</v>
      </c>
      <c r="N12" s="32" t="n">
        <v>14.441</v>
      </c>
      <c r="O12" s="32" t="n">
        <v>3.578</v>
      </c>
      <c r="P12" s="32" t="n">
        <v>14.31</v>
      </c>
      <c r="Q12" s="32" t="n">
        <v>3.703</v>
      </c>
    </row>
    <row r="13">
      <c r="A13" s="33" t="inlineStr">
        <is>
          <t>E4</t>
        </is>
      </c>
      <c r="B13" s="33" t="n">
        <v>11.644</v>
      </c>
      <c r="C13" s="33" t="n">
        <v>3.133</v>
      </c>
      <c r="D13" s="33" t="n">
        <v>12.149</v>
      </c>
      <c r="E13" s="33" t="n">
        <v>3.246</v>
      </c>
      <c r="F13" s="33" t="n">
        <v>12.403</v>
      </c>
      <c r="G13" s="33" t="n">
        <v>3.265</v>
      </c>
      <c r="H13" s="33" t="n">
        <v>13.216</v>
      </c>
      <c r="I13" s="33" t="n">
        <v>3.152</v>
      </c>
      <c r="J13" s="33" t="n">
        <v>12.728</v>
      </c>
      <c r="K13" s="33" t="n">
        <v>3.114</v>
      </c>
      <c r="L13" s="33" t="n">
        <v>12.825</v>
      </c>
      <c r="M13" s="33" t="n">
        <v>3.267</v>
      </c>
      <c r="N13" s="33" t="n">
        <v>13.089</v>
      </c>
      <c r="O13" s="33" t="n">
        <v>3.545</v>
      </c>
      <c r="P13" s="33" t="n">
        <v>12.357</v>
      </c>
      <c r="Q13" s="33" t="n">
        <v>3.573</v>
      </c>
    </row>
    <row r="14">
      <c r="A14" s="32" t="inlineStr">
        <is>
          <t>E5</t>
        </is>
      </c>
      <c r="B14" s="32" t="n">
        <v>14.6</v>
      </c>
      <c r="C14" s="32" t="n">
        <v>3.412</v>
      </c>
      <c r="D14" s="32" t="n">
        <v>13.382</v>
      </c>
      <c r="E14" s="32" t="n">
        <v>3.475</v>
      </c>
      <c r="F14" s="32" t="n">
        <v>11.83</v>
      </c>
      <c r="G14" s="32" t="n">
        <v>3.286</v>
      </c>
      <c r="H14" s="32" t="n">
        <v>11.766</v>
      </c>
      <c r="I14" s="32" t="n">
        <v>3.122</v>
      </c>
      <c r="J14" s="32" t="n">
        <v>14.544</v>
      </c>
      <c r="K14" s="32" t="n">
        <v>3.488</v>
      </c>
      <c r="L14" s="32" t="n">
        <v>12.87</v>
      </c>
      <c r="M14" s="32" t="n">
        <v>3.533</v>
      </c>
      <c r="N14" s="32" t="n">
        <v>11.067</v>
      </c>
      <c r="O14" s="32" t="n">
        <v>3.457</v>
      </c>
      <c r="P14" s="32" t="n">
        <v>9.99</v>
      </c>
      <c r="Q14" s="32" t="n">
        <v>3.252</v>
      </c>
    </row>
    <row r="15">
      <c r="A15" s="33" t="inlineStr">
        <is>
          <t>E6</t>
        </is>
      </c>
      <c r="B15" s="33" t="n">
        <v>14.36</v>
      </c>
      <c r="C15" s="33" t="n">
        <v>3.672</v>
      </c>
      <c r="D15" s="33" t="n">
        <v>14.279</v>
      </c>
      <c r="E15" s="33" t="n">
        <v>3.576</v>
      </c>
      <c r="F15" s="33" t="n">
        <v>14.429</v>
      </c>
      <c r="G15" s="33" t="n">
        <v>3.276</v>
      </c>
      <c r="H15" s="33" t="n">
        <v>14.347</v>
      </c>
      <c r="I15" s="33" t="n">
        <v>3.672</v>
      </c>
      <c r="J15" s="33" t="n">
        <v>15.296</v>
      </c>
      <c r="K15" s="33" t="n">
        <v>3.462</v>
      </c>
      <c r="L15" s="33" t="n">
        <v>14.982</v>
      </c>
      <c r="M15" s="33" t="n">
        <v>3.311</v>
      </c>
      <c r="N15" s="33" t="n">
        <v>14.941</v>
      </c>
      <c r="O15" s="33" t="n">
        <v>3.345</v>
      </c>
      <c r="P15" s="33" t="n">
        <v>15.929</v>
      </c>
      <c r="Q15" s="33" t="n">
        <v>3.114</v>
      </c>
    </row>
    <row r="16">
      <c r="A16" s="32" t="inlineStr">
        <is>
          <t>O1</t>
        </is>
      </c>
      <c r="B16" s="32" t="n">
        <v>16.635</v>
      </c>
      <c r="C16" s="32" t="n">
        <v>2.967</v>
      </c>
      <c r="D16" s="32" t="n">
        <v>15.995</v>
      </c>
      <c r="E16" s="32" t="n">
        <v>3.16</v>
      </c>
      <c r="F16" s="32" t="n">
        <v>14.878</v>
      </c>
      <c r="G16" s="32" t="n">
        <v>3.339</v>
      </c>
      <c r="H16" s="32" t="n">
        <v>14.269</v>
      </c>
      <c r="I16" s="32" t="n">
        <v>3.243</v>
      </c>
      <c r="J16" s="32" t="n">
        <v>16.846</v>
      </c>
      <c r="K16" s="32" t="n">
        <v>2.915</v>
      </c>
      <c r="L16" s="32" t="n">
        <v>15.694</v>
      </c>
      <c r="M16" s="32" t="n">
        <v>3.346</v>
      </c>
      <c r="N16" s="32" t="n">
        <v>14.557</v>
      </c>
      <c r="O16" s="32" t="n">
        <v>3.498</v>
      </c>
      <c r="P16" s="32" t="n">
        <v>13.4</v>
      </c>
      <c r="Q16" s="32" t="n">
        <v>4.219</v>
      </c>
    </row>
    <row r="17">
      <c r="A17" s="33" t="inlineStr">
        <is>
          <t>O2</t>
        </is>
      </c>
      <c r="B17" s="33" t="n">
        <v>14.473</v>
      </c>
      <c r="C17" s="33" t="n">
        <v>3.886</v>
      </c>
      <c r="D17" s="33" t="n">
        <v>15.034</v>
      </c>
      <c r="E17" s="33" t="n">
        <v>3.615</v>
      </c>
      <c r="F17" s="33" t="n">
        <v>14.854</v>
      </c>
      <c r="G17" s="33" t="n">
        <v>3.594</v>
      </c>
      <c r="H17" s="33" t="n">
        <v>14.235</v>
      </c>
      <c r="I17" s="33" t="n">
        <v>4.111</v>
      </c>
      <c r="J17" s="33" t="n">
        <v>16.009</v>
      </c>
      <c r="K17" s="33" t="n">
        <v>3.433</v>
      </c>
      <c r="L17" s="33" t="n">
        <v>16.026</v>
      </c>
      <c r="M17" s="33" t="n">
        <v>3.301</v>
      </c>
      <c r="N17" s="33" t="n">
        <v>16.025</v>
      </c>
      <c r="O17" s="33" t="n">
        <v>3.163</v>
      </c>
      <c r="P17" s="33" t="n">
        <v>16.139</v>
      </c>
      <c r="Q17" s="33" t="n">
        <v>3.28</v>
      </c>
    </row>
    <row r="18">
      <c r="A18" s="32" t="inlineStr">
        <is>
          <t>O3</t>
        </is>
      </c>
      <c r="B18" s="32" t="n">
        <v>14.441</v>
      </c>
      <c r="C18" s="32" t="n">
        <v>3.367</v>
      </c>
      <c r="D18" s="32" t="n">
        <v>14.638</v>
      </c>
      <c r="E18" s="32" t="n">
        <v>3.253</v>
      </c>
      <c r="F18" s="32" t="n">
        <v>14.839</v>
      </c>
      <c r="G18" s="32" t="n">
        <v>3.194</v>
      </c>
      <c r="H18" s="32" t="n">
        <v>13.725</v>
      </c>
      <c r="I18" s="32" t="n">
        <v>3.06</v>
      </c>
      <c r="J18" s="32" t="n">
        <v>16.078</v>
      </c>
      <c r="K18" s="32" t="n">
        <v>2.995</v>
      </c>
      <c r="L18" s="32" t="n">
        <v>16.449</v>
      </c>
      <c r="M18" s="32" t="n">
        <v>2.705</v>
      </c>
      <c r="N18" s="32" t="n">
        <v>16.475</v>
      </c>
      <c r="O18" s="32" t="n">
        <v>2.542</v>
      </c>
      <c r="P18" s="32" t="n">
        <v>15.7</v>
      </c>
      <c r="Q18" s="32" t="n">
        <v>3.013</v>
      </c>
    </row>
    <row r="19">
      <c r="A19" s="33" t="inlineStr">
        <is>
          <t>O4</t>
        </is>
      </c>
      <c r="B19" s="33" t="n">
        <v>12.788</v>
      </c>
      <c r="C19" s="33" t="n">
        <v>3.179</v>
      </c>
      <c r="D19" s="33" t="n">
        <v>13.223</v>
      </c>
      <c r="E19" s="33" t="n">
        <v>3.44</v>
      </c>
      <c r="F19" s="33" t="n">
        <v>12.941</v>
      </c>
      <c r="G19" s="33" t="n">
        <v>3.561</v>
      </c>
      <c r="H19" s="33" t="n">
        <v>12.353</v>
      </c>
      <c r="I19" s="33" t="n">
        <v>3.23</v>
      </c>
      <c r="J19" s="33" t="n">
        <v>12.875</v>
      </c>
      <c r="K19" s="33" t="n">
        <v>3.264</v>
      </c>
      <c r="L19" s="33" t="n">
        <v>12.799</v>
      </c>
      <c r="M19" s="33" t="n">
        <v>3.458</v>
      </c>
      <c r="N19" s="33" t="n">
        <v>12.665</v>
      </c>
      <c r="O19" s="33" t="n">
        <v>3.471</v>
      </c>
      <c r="P19" s="33" t="n">
        <v>11.818</v>
      </c>
      <c r="Q19" s="33" t="n">
        <v>3.607</v>
      </c>
    </row>
    <row r="20">
      <c r="A20" s="32" t="inlineStr">
        <is>
          <t>O5</t>
        </is>
      </c>
      <c r="B20" s="32" t="n">
        <v>15.456</v>
      </c>
      <c r="C20" s="32" t="n">
        <v>3.518</v>
      </c>
      <c r="D20" s="32" t="n">
        <v>16.265</v>
      </c>
      <c r="E20" s="32" t="n">
        <v>3.264</v>
      </c>
      <c r="F20" s="32" t="n">
        <v>15.691</v>
      </c>
      <c r="G20" s="32" t="n">
        <v>3.278</v>
      </c>
      <c r="H20" s="32" t="n">
        <v>13.362</v>
      </c>
      <c r="I20" s="32" t="n">
        <v>4.566</v>
      </c>
      <c r="J20" s="32" t="n">
        <v>15.141</v>
      </c>
      <c r="K20" s="32" t="n">
        <v>3.492</v>
      </c>
      <c r="L20" s="32" t="n">
        <v>15.297</v>
      </c>
      <c r="M20" s="32" t="n">
        <v>3.505</v>
      </c>
      <c r="N20" s="32" t="n">
        <v>14.956</v>
      </c>
      <c r="O20" s="32" t="n">
        <v>3.685</v>
      </c>
      <c r="P20" s="32" t="n">
        <v>13.725</v>
      </c>
      <c r="Q20" s="32" t="n">
        <v>3.828</v>
      </c>
    </row>
    <row r="21">
      <c r="A21" s="33" t="inlineStr">
        <is>
          <t>O6</t>
        </is>
      </c>
      <c r="B21" s="33" t="n">
        <v>11.862</v>
      </c>
      <c r="C21" s="33" t="n">
        <v>3.189</v>
      </c>
      <c r="D21" s="33" t="n">
        <v>11.621</v>
      </c>
      <c r="E21" s="33" t="n">
        <v>3.739</v>
      </c>
      <c r="F21" s="33" t="n">
        <v>10.988</v>
      </c>
      <c r="G21" s="33" t="n">
        <v>3.889</v>
      </c>
      <c r="H21" s="33" t="n">
        <v>10.68</v>
      </c>
      <c r="I21" s="33" t="n">
        <v>3.706</v>
      </c>
      <c r="J21" s="33" t="n">
        <v>12.189</v>
      </c>
      <c r="K21" s="33" t="n">
        <v>3.035</v>
      </c>
      <c r="L21" s="33" t="n">
        <v>12.041</v>
      </c>
      <c r="M21" s="33" t="n">
        <v>3.469</v>
      </c>
      <c r="N21" s="33" t="n">
        <v>11.809</v>
      </c>
      <c r="O21" s="33" t="n">
        <v>3.706</v>
      </c>
      <c r="P21" s="33" t="n">
        <v>10.545</v>
      </c>
      <c r="Q21" s="33" t="n">
        <v>3.853</v>
      </c>
    </row>
    <row r="22">
      <c r="A22" s="32" t="inlineStr">
        <is>
          <t>A1</t>
        </is>
      </c>
      <c r="B22" s="32" t="n">
        <v>13.23</v>
      </c>
      <c r="C22" s="32" t="n">
        <v>3.716</v>
      </c>
      <c r="D22" s="32" t="n">
        <v>12.764</v>
      </c>
      <c r="E22" s="32" t="n">
        <v>3.737</v>
      </c>
      <c r="F22" s="32" t="n">
        <v>13.461</v>
      </c>
      <c r="G22" s="32" t="n">
        <v>3.632</v>
      </c>
      <c r="H22" s="32" t="n">
        <v>13.686</v>
      </c>
      <c r="I22" s="32" t="n">
        <v>3.636</v>
      </c>
      <c r="J22" s="32" t="n">
        <v>13.48</v>
      </c>
      <c r="K22" s="32" t="n">
        <v>3.765</v>
      </c>
      <c r="L22" s="32" t="n">
        <v>13.116</v>
      </c>
      <c r="M22" s="32" t="n">
        <v>3.749</v>
      </c>
      <c r="N22" s="32" t="n">
        <v>13.773</v>
      </c>
      <c r="O22" s="32" t="n">
        <v>3.597</v>
      </c>
      <c r="P22" s="32" t="n">
        <v>14.194</v>
      </c>
      <c r="Q22" s="32" t="n">
        <v>3.526</v>
      </c>
    </row>
    <row r="23">
      <c r="A23" s="33" t="inlineStr">
        <is>
          <t>A2</t>
        </is>
      </c>
      <c r="B23" s="33" t="n">
        <v>14.922</v>
      </c>
      <c r="C23" s="33" t="n">
        <v>3.433</v>
      </c>
      <c r="D23" s="33" t="n">
        <v>15.995</v>
      </c>
      <c r="E23" s="33" t="n">
        <v>3.222</v>
      </c>
      <c r="F23" s="33" t="n">
        <v>16.965</v>
      </c>
      <c r="G23" s="33" t="n">
        <v>2.882</v>
      </c>
      <c r="H23" s="33" t="n">
        <v>16.843</v>
      </c>
      <c r="I23" s="33" t="n">
        <v>3.591</v>
      </c>
      <c r="J23" s="33" t="n">
        <v>16.193</v>
      </c>
      <c r="K23" s="33" t="n">
        <v>2.935</v>
      </c>
      <c r="L23" s="33" t="n">
        <v>17.359</v>
      </c>
      <c r="M23" s="33" t="n">
        <v>2.649</v>
      </c>
      <c r="N23" s="33" t="n">
        <v>18.2</v>
      </c>
      <c r="O23" s="33" t="n">
        <v>2.182</v>
      </c>
      <c r="P23" s="33" t="n">
        <v>18.589</v>
      </c>
      <c r="Q23" s="33" t="n">
        <v>2.111</v>
      </c>
    </row>
    <row r="24">
      <c r="A24" s="32" t="inlineStr">
        <is>
          <t>A3</t>
        </is>
      </c>
      <c r="B24" s="32" t="n">
        <v>15.39</v>
      </c>
      <c r="C24" s="32" t="n">
        <v>3.087</v>
      </c>
      <c r="D24" s="32" t="n">
        <v>15.419</v>
      </c>
      <c r="E24" s="32" t="n">
        <v>2.98</v>
      </c>
      <c r="F24" s="32" t="n">
        <v>15.797</v>
      </c>
      <c r="G24" s="32" t="n">
        <v>2.935</v>
      </c>
      <c r="H24" s="32" t="n">
        <v>15.173</v>
      </c>
      <c r="I24" s="32" t="n">
        <v>3.388</v>
      </c>
      <c r="J24" s="32" t="n">
        <v>16.71</v>
      </c>
      <c r="K24" s="32" t="n">
        <v>2.706</v>
      </c>
      <c r="L24" s="32" t="n">
        <v>16.848</v>
      </c>
      <c r="M24" s="32" t="n">
        <v>2.56</v>
      </c>
      <c r="N24" s="32" t="n">
        <v>17.067</v>
      </c>
      <c r="O24" s="32" t="n">
        <v>2.476</v>
      </c>
      <c r="P24" s="32" t="n">
        <v>17.167</v>
      </c>
      <c r="Q24" s="32" t="n">
        <v>2.243</v>
      </c>
    </row>
    <row r="25">
      <c r="A25" s="33" t="inlineStr">
        <is>
          <t>A4</t>
        </is>
      </c>
      <c r="B25" s="33" t="n">
        <v>12.816</v>
      </c>
      <c r="C25" s="33" t="n">
        <v>4.06</v>
      </c>
      <c r="D25" s="33" t="n">
        <v>14.624</v>
      </c>
      <c r="E25" s="33" t="n">
        <v>3.737</v>
      </c>
      <c r="F25" s="33" t="n">
        <v>15.613</v>
      </c>
      <c r="G25" s="33" t="n">
        <v>3.449</v>
      </c>
      <c r="H25" s="33" t="n">
        <v>15</v>
      </c>
      <c r="I25" s="33" t="n">
        <v>4.402</v>
      </c>
      <c r="J25" s="33" t="n">
        <v>13.885</v>
      </c>
      <c r="K25" s="33" t="n">
        <v>4.121</v>
      </c>
      <c r="L25" s="33" t="n">
        <v>15.558</v>
      </c>
      <c r="M25" s="33" t="n">
        <v>3.55</v>
      </c>
      <c r="N25" s="33" t="n">
        <v>16.972</v>
      </c>
      <c r="O25" s="33" t="n">
        <v>2.96</v>
      </c>
      <c r="P25" s="33" t="n">
        <v>17.851</v>
      </c>
      <c r="Q25" s="33" t="n">
        <v>2.676</v>
      </c>
    </row>
    <row r="26">
      <c r="A26" s="32" t="inlineStr">
        <is>
          <t>A5</t>
        </is>
      </c>
      <c r="B26" s="32" t="n">
        <v>12.018</v>
      </c>
      <c r="C26" s="32" t="n">
        <v>3.907</v>
      </c>
      <c r="D26" s="32" t="n">
        <v>11.401</v>
      </c>
      <c r="E26" s="32" t="n">
        <v>3.611</v>
      </c>
      <c r="F26" s="32" t="n">
        <v>11.884</v>
      </c>
      <c r="G26" s="32" t="n">
        <v>3.326</v>
      </c>
      <c r="H26" s="32" t="n">
        <v>11.558</v>
      </c>
      <c r="I26" s="32" t="n">
        <v>3.444</v>
      </c>
      <c r="J26" s="32" t="n">
        <v>13.224</v>
      </c>
      <c r="K26" s="32" t="n">
        <v>3.785</v>
      </c>
      <c r="L26" s="32" t="n">
        <v>12.937</v>
      </c>
      <c r="M26" s="32" t="n">
        <v>3.607</v>
      </c>
      <c r="N26" s="32" t="n">
        <v>13.482</v>
      </c>
      <c r="O26" s="32" t="n">
        <v>3.317</v>
      </c>
      <c r="P26" s="32" t="n">
        <v>13.608</v>
      </c>
      <c r="Q26" s="32" t="n">
        <v>3.493</v>
      </c>
    </row>
    <row r="27">
      <c r="A27" s="33" t="inlineStr">
        <is>
          <t>A6</t>
        </is>
      </c>
      <c r="B27" s="33" t="n">
        <v>13.991</v>
      </c>
      <c r="C27" s="33" t="n">
        <v>3.35</v>
      </c>
      <c r="D27" s="33" t="n">
        <v>13.808</v>
      </c>
      <c r="E27" s="33" t="n">
        <v>3.375</v>
      </c>
      <c r="F27" s="33" t="n">
        <v>14.431</v>
      </c>
      <c r="G27" s="33" t="n">
        <v>3.299</v>
      </c>
      <c r="H27" s="33" t="n">
        <v>13.75</v>
      </c>
      <c r="I27" s="33" t="n">
        <v>3.463</v>
      </c>
      <c r="J27" s="33" t="n">
        <v>15.776</v>
      </c>
      <c r="K27" s="33" t="n">
        <v>2.823</v>
      </c>
      <c r="L27" s="33" t="n">
        <v>15.552</v>
      </c>
      <c r="M27" s="33" t="n">
        <v>2.905</v>
      </c>
      <c r="N27" s="33" t="n">
        <v>15.877</v>
      </c>
      <c r="O27" s="33" t="n">
        <v>2.74</v>
      </c>
      <c r="P27" s="33" t="n">
        <v>15.951</v>
      </c>
      <c r="Q27" s="33" t="n">
        <v>3.016</v>
      </c>
    </row>
    <row r="28">
      <c r="A28" s="32" t="inlineStr">
        <is>
          <t>C1</t>
        </is>
      </c>
      <c r="B28" s="32" t="n">
        <v>15.344</v>
      </c>
      <c r="C28" s="32" t="n">
        <v>2.567</v>
      </c>
      <c r="D28" s="32" t="n">
        <v>15.841</v>
      </c>
      <c r="E28" s="32" t="n">
        <v>2.409</v>
      </c>
      <c r="F28" s="32" t="n">
        <v>16.202</v>
      </c>
      <c r="G28" s="32" t="n">
        <v>2.279</v>
      </c>
      <c r="H28" s="32" t="n">
        <v>15.75</v>
      </c>
      <c r="I28" s="32" t="n">
        <v>3.377</v>
      </c>
      <c r="J28" s="32" t="n">
        <v>15.378</v>
      </c>
      <c r="K28" s="32" t="n">
        <v>2.491</v>
      </c>
      <c r="L28" s="32" t="n">
        <v>16.033</v>
      </c>
      <c r="M28" s="32" t="n">
        <v>2.358</v>
      </c>
      <c r="N28" s="32" t="n">
        <v>16.501</v>
      </c>
      <c r="O28" s="32" t="n">
        <v>2.188</v>
      </c>
      <c r="P28" s="32" t="n">
        <v>16.43</v>
      </c>
      <c r="Q28" s="32" t="n">
        <v>2.302</v>
      </c>
    </row>
    <row r="29">
      <c r="A29" s="33" t="inlineStr">
        <is>
          <t>C2</t>
        </is>
      </c>
      <c r="B29" s="33" t="n">
        <v>11.09</v>
      </c>
      <c r="C29" s="33" t="n">
        <v>3.966</v>
      </c>
      <c r="D29" s="33" t="n">
        <v>12.068</v>
      </c>
      <c r="E29" s="33" t="n">
        <v>4.283</v>
      </c>
      <c r="F29" s="33" t="n">
        <v>13.118</v>
      </c>
      <c r="G29" s="33" t="n">
        <v>4.326</v>
      </c>
      <c r="H29" s="33" t="n">
        <v>13.98</v>
      </c>
      <c r="I29" s="33" t="n">
        <v>4.705</v>
      </c>
      <c r="J29" s="33" t="n">
        <v>11.166</v>
      </c>
      <c r="K29" s="33" t="n">
        <v>4.208</v>
      </c>
      <c r="L29" s="33" t="n">
        <v>12.631</v>
      </c>
      <c r="M29" s="33" t="n">
        <v>4.538</v>
      </c>
      <c r="N29" s="33" t="n">
        <v>13.585</v>
      </c>
      <c r="O29" s="33" t="n">
        <v>4.511</v>
      </c>
      <c r="P29" s="33" t="n">
        <v>14.767</v>
      </c>
      <c r="Q29" s="33" t="n">
        <v>4.555</v>
      </c>
    </row>
    <row r="30">
      <c r="A30" s="32" t="inlineStr">
        <is>
          <t>C3</t>
        </is>
      </c>
      <c r="B30" s="32" t="n">
        <v>15.321</v>
      </c>
      <c r="C30" s="32" t="n">
        <v>2.934</v>
      </c>
      <c r="D30" s="32" t="n">
        <v>15.674</v>
      </c>
      <c r="E30" s="32" t="n">
        <v>2.812</v>
      </c>
      <c r="F30" s="32" t="n">
        <v>16.585</v>
      </c>
      <c r="G30" s="32" t="n">
        <v>2.471</v>
      </c>
      <c r="H30" s="32" t="n">
        <v>16.118</v>
      </c>
      <c r="I30" s="32" t="n">
        <v>3.734</v>
      </c>
      <c r="J30" s="32" t="n">
        <v>15.723</v>
      </c>
      <c r="K30" s="32" t="n">
        <v>2.748</v>
      </c>
      <c r="L30" s="32" t="n">
        <v>16.344</v>
      </c>
      <c r="M30" s="32" t="n">
        <v>2.545</v>
      </c>
      <c r="N30" s="32" t="n">
        <v>17.237</v>
      </c>
      <c r="O30" s="32" t="n">
        <v>2.375</v>
      </c>
      <c r="P30" s="32" t="n">
        <v>18.327</v>
      </c>
      <c r="Q30" s="32" t="n">
        <v>1.817</v>
      </c>
    </row>
    <row r="31">
      <c r="A31" s="33" t="inlineStr">
        <is>
          <t>C4</t>
        </is>
      </c>
      <c r="B31" s="33" t="n">
        <v>13.669</v>
      </c>
      <c r="C31" s="33" t="n">
        <v>3.661</v>
      </c>
      <c r="D31" s="33" t="n">
        <v>15.448</v>
      </c>
      <c r="E31" s="33" t="n">
        <v>3.411</v>
      </c>
      <c r="F31" s="33" t="n">
        <v>16.571</v>
      </c>
      <c r="G31" s="33" t="n">
        <v>2.977</v>
      </c>
      <c r="H31" s="33" t="n">
        <v>16.058</v>
      </c>
      <c r="I31" s="33" t="n">
        <v>3.578</v>
      </c>
      <c r="J31" s="33" t="n">
        <v>14.787</v>
      </c>
      <c r="K31" s="33" t="n">
        <v>3.319</v>
      </c>
      <c r="L31" s="33" t="n">
        <v>16.169</v>
      </c>
      <c r="M31" s="33" t="n">
        <v>3.039</v>
      </c>
      <c r="N31" s="33" t="n">
        <v>17.169</v>
      </c>
      <c r="O31" s="33" t="n">
        <v>2.778</v>
      </c>
      <c r="P31" s="33" t="n">
        <v>17.225</v>
      </c>
      <c r="Q31" s="33" t="n">
        <v>2.677</v>
      </c>
    </row>
    <row r="32">
      <c r="A32" s="32" t="inlineStr">
        <is>
          <t>C5</t>
        </is>
      </c>
      <c r="B32" s="32" t="n">
        <v>12.389</v>
      </c>
      <c r="C32" s="32" t="n">
        <v>3.256</v>
      </c>
      <c r="D32" s="32" t="n">
        <v>13.242</v>
      </c>
      <c r="E32" s="32" t="n">
        <v>3.329</v>
      </c>
      <c r="F32" s="32" t="n">
        <v>13.979</v>
      </c>
      <c r="G32" s="32" t="n">
        <v>3.18</v>
      </c>
      <c r="H32" s="32" t="n">
        <v>13.922</v>
      </c>
      <c r="I32" s="32" t="n">
        <v>3.242</v>
      </c>
      <c r="J32" s="32" t="n">
        <v>12.805</v>
      </c>
      <c r="K32" s="32" t="n">
        <v>3.187</v>
      </c>
      <c r="L32" s="32" t="n">
        <v>13.53</v>
      </c>
      <c r="M32" s="32" t="n">
        <v>3.271</v>
      </c>
      <c r="N32" s="32" t="n">
        <v>14.268</v>
      </c>
      <c r="O32" s="32" t="n">
        <v>3.22</v>
      </c>
      <c r="P32" s="32" t="n">
        <v>14.534</v>
      </c>
      <c r="Q32" s="32" t="n">
        <v>3.435</v>
      </c>
    </row>
    <row r="33">
      <c r="A33" s="33" t="inlineStr">
        <is>
          <t>C6</t>
        </is>
      </c>
      <c r="B33" s="33" t="n">
        <v>12.169</v>
      </c>
      <c r="C33" s="33" t="n">
        <v>4.061</v>
      </c>
      <c r="D33" s="33" t="n">
        <v>13.389</v>
      </c>
      <c r="E33" s="33" t="n">
        <v>4.04</v>
      </c>
      <c r="F33" s="33" t="n">
        <v>14.729</v>
      </c>
      <c r="G33" s="33" t="n">
        <v>3.745</v>
      </c>
      <c r="H33" s="33" t="n">
        <v>14.577</v>
      </c>
      <c r="I33" s="33" t="n">
        <v>4.007</v>
      </c>
      <c r="J33" s="33" t="n">
        <v>11.913</v>
      </c>
      <c r="K33" s="33" t="n">
        <v>4.05</v>
      </c>
      <c r="L33" s="33" t="n">
        <v>12.848</v>
      </c>
      <c r="M33" s="33" t="n">
        <v>4.187</v>
      </c>
      <c r="N33" s="33" t="n">
        <v>14.406</v>
      </c>
      <c r="O33" s="33" t="n">
        <v>3.974</v>
      </c>
      <c r="P33" s="33" t="n">
        <v>15.091</v>
      </c>
      <c r="Q33" s="33" t="n">
        <v>3.899</v>
      </c>
    </row>
    <row r="34">
      <c r="A34" s="34" t="inlineStr">
        <is>
          <t>N</t>
        </is>
      </c>
      <c r="B34" s="35" t="n">
        <v>67.64700000000001</v>
      </c>
      <c r="C34" s="35" t="n">
        <v>15.811</v>
      </c>
      <c r="D34" s="35" t="n">
        <v>66.67100000000001</v>
      </c>
      <c r="E34" s="35" t="n">
        <v>16.592</v>
      </c>
      <c r="F34" s="35" t="n">
        <v>63.735</v>
      </c>
      <c r="G34" s="35" t="n">
        <v>15.578</v>
      </c>
      <c r="H34" s="35" t="n">
        <v>62.932</v>
      </c>
      <c r="I34" s="35" t="n">
        <v>20.516</v>
      </c>
      <c r="J34" s="35" t="n">
        <v>73.61499999999999</v>
      </c>
      <c r="K34" s="35" t="n">
        <v>15.724</v>
      </c>
      <c r="L34" s="35" t="n">
        <v>72.47199999999999</v>
      </c>
      <c r="M34" s="35" t="n">
        <v>16.202</v>
      </c>
      <c r="N34" s="35" t="n">
        <v>67.608</v>
      </c>
      <c r="O34" s="35" t="n">
        <v>16.436</v>
      </c>
      <c r="P34" s="35" t="n">
        <v>64.568</v>
      </c>
      <c r="Q34" s="35" t="n">
        <v>16.062</v>
      </c>
    </row>
    <row r="35">
      <c r="A35" s="34" t="inlineStr">
        <is>
          <t>E</t>
        </is>
      </c>
      <c r="B35" s="35" t="n">
        <v>80.669</v>
      </c>
      <c r="C35" s="35" t="n">
        <v>15.532</v>
      </c>
      <c r="D35" s="35" t="n">
        <v>79.2</v>
      </c>
      <c r="E35" s="35" t="n">
        <v>15.551</v>
      </c>
      <c r="F35" s="35" t="n">
        <v>77.61499999999999</v>
      </c>
      <c r="G35" s="35" t="n">
        <v>14.437</v>
      </c>
      <c r="H35" s="35" t="n">
        <v>79.977</v>
      </c>
      <c r="I35" s="35" t="n">
        <v>14.535</v>
      </c>
      <c r="J35" s="35" t="n">
        <v>83.813</v>
      </c>
      <c r="K35" s="35" t="n">
        <v>15.178</v>
      </c>
      <c r="L35" s="35" t="n">
        <v>80.806</v>
      </c>
      <c r="M35" s="35" t="n">
        <v>14.732</v>
      </c>
      <c r="N35" s="35" t="n">
        <v>78.517</v>
      </c>
      <c r="O35" s="35" t="n">
        <v>14.431</v>
      </c>
      <c r="P35" s="35" t="n">
        <v>77.679</v>
      </c>
      <c r="Q35" s="35" t="n">
        <v>13.328</v>
      </c>
    </row>
    <row r="36">
      <c r="A36" s="34" t="inlineStr">
        <is>
          <t>O</t>
        </is>
      </c>
      <c r="B36" s="35" t="n">
        <v>85.70099999999999</v>
      </c>
      <c r="C36" s="35" t="n">
        <v>12.559</v>
      </c>
      <c r="D36" s="35" t="n">
        <v>86.887</v>
      </c>
      <c r="E36" s="35" t="n">
        <v>12.751</v>
      </c>
      <c r="F36" s="35" t="n">
        <v>83.92400000000001</v>
      </c>
      <c r="G36" s="35" t="n">
        <v>13.12</v>
      </c>
      <c r="H36" s="35" t="n">
        <v>78.69</v>
      </c>
      <c r="I36" s="35" t="n">
        <v>14.126</v>
      </c>
      <c r="J36" s="35" t="n">
        <v>89.151</v>
      </c>
      <c r="K36" s="35" t="n">
        <v>11.889</v>
      </c>
      <c r="L36" s="35" t="n">
        <v>88.348</v>
      </c>
      <c r="M36" s="35" t="n">
        <v>12.254</v>
      </c>
      <c r="N36" s="35" t="n">
        <v>86.42</v>
      </c>
      <c r="O36" s="35" t="n">
        <v>12.462</v>
      </c>
      <c r="P36" s="35" t="n">
        <v>81.578</v>
      </c>
      <c r="Q36" s="35" t="n">
        <v>15.449</v>
      </c>
    </row>
    <row r="37">
      <c r="A37" s="34" t="inlineStr">
        <is>
          <t>A</t>
        </is>
      </c>
      <c r="B37" s="35" t="n">
        <v>82.328</v>
      </c>
      <c r="C37" s="35" t="n">
        <v>14.694</v>
      </c>
      <c r="D37" s="35" t="n">
        <v>84.209</v>
      </c>
      <c r="E37" s="35" t="n">
        <v>13.558</v>
      </c>
      <c r="F37" s="35" t="n">
        <v>88.45099999999999</v>
      </c>
      <c r="G37" s="35" t="n">
        <v>12.557</v>
      </c>
      <c r="H37" s="35" t="n">
        <v>85.84099999999999</v>
      </c>
      <c r="I37" s="35" t="n">
        <v>15.838</v>
      </c>
      <c r="J37" s="35" t="n">
        <v>89.56</v>
      </c>
      <c r="K37" s="35" t="n">
        <v>13.281</v>
      </c>
      <c r="L37" s="35" t="n">
        <v>91.81100000000001</v>
      </c>
      <c r="M37" s="35" t="n">
        <v>11.702</v>
      </c>
      <c r="N37" s="35" t="n">
        <v>95.68899999999999</v>
      </c>
      <c r="O37" s="35" t="n">
        <v>10.166</v>
      </c>
      <c r="P37" s="35" t="n">
        <v>97.494</v>
      </c>
      <c r="Q37" s="35" t="n">
        <v>10.483</v>
      </c>
    </row>
    <row r="38">
      <c r="A38" s="34" t="inlineStr">
        <is>
          <t>C</t>
        </is>
      </c>
      <c r="B38" s="35" t="n">
        <v>80.13</v>
      </c>
      <c r="C38" s="35" t="n">
        <v>14.674</v>
      </c>
      <c r="D38" s="35" t="n">
        <v>85.758</v>
      </c>
      <c r="E38" s="35" t="n">
        <v>14.279</v>
      </c>
      <c r="F38" s="35" t="n">
        <v>91.306</v>
      </c>
      <c r="G38" s="35" t="n">
        <v>13.118</v>
      </c>
      <c r="H38" s="35" t="n">
        <v>90.837</v>
      </c>
      <c r="I38" s="35" t="n">
        <v>17.518</v>
      </c>
      <c r="J38" s="35" t="n">
        <v>81.742</v>
      </c>
      <c r="K38" s="35" t="n">
        <v>14.295</v>
      </c>
      <c r="L38" s="35" t="n">
        <v>87.504</v>
      </c>
      <c r="M38" s="35" t="n">
        <v>13.941</v>
      </c>
      <c r="N38" s="35" t="n">
        <v>93.214</v>
      </c>
      <c r="O38" s="35" t="n">
        <v>13.39</v>
      </c>
      <c r="P38" s="35" t="n">
        <v>96.121</v>
      </c>
      <c r="Q38" s="35" t="n">
        <v>13.543</v>
      </c>
    </row>
  </sheetData>
  <mergeCells count="2">
    <mergeCell ref="A2:R2"/>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5"/>
  <sheetViews>
    <sheetView showGridLines="0" workbookViewId="0">
      <pane ySplit="7" topLeftCell="A8" activePane="bottomLeft" state="frozen"/>
      <selection pane="bottomLeft" activeCell="A1" sqref="A1"/>
    </sheetView>
  </sheetViews>
  <sheetFormatPr baseColWidth="8" defaultRowHeight="15"/>
  <cols>
    <col width="12" customWidth="1" min="1" max="1"/>
    <col width="24" customWidth="1" min="2" max="2"/>
    <col width="24" customWidth="1" min="3" max="3"/>
    <col width="8" customWidth="1" min="4" max="4"/>
    <col width="9" customWidth="1" min="5" max="5"/>
    <col width="9" customWidth="1" min="6" max="6"/>
    <col width="8" customWidth="1" min="7" max="7"/>
    <col width="14" customWidth="1" min="8" max="8"/>
  </cols>
  <sheetData>
    <row r="1" ht="34" customHeight="1">
      <c r="A1" s="10" t="inlineStr">
        <is>
          <t>Resultados</t>
        </is>
      </c>
    </row>
    <row r="3">
      <c r="A3" s="13" t="inlineStr">
        <is>
          <t>Grupo normativo:</t>
        </is>
      </c>
      <c r="B3" s="36">
        <f>Test!B2 &amp; "_" &amp; IF(Test!B3&lt;=20,"10-20",IF(Test!B3&lt;=40,"21-40",IF(Test!B3&lt;=60,"41-60","61-95")))</f>
        <v/>
      </c>
      <c r="C3" s="31" t="inlineStr">
        <is>
          <t>(se recalcula al cambiar Sexo/Edad en la hoja Test)</t>
        </is>
      </c>
    </row>
    <row r="4">
      <c r="A4" s="13" t="inlineStr">
        <is>
          <t>Ítems respondidos:</t>
        </is>
      </c>
      <c r="B4" s="13">
        <f>COUNT(Test!E6:E125) &amp; " / 120"</f>
        <v/>
      </c>
      <c r="C4" s="31" t="inlineStr">
        <is>
          <t>(completa los 120 antes de interpretar)</t>
        </is>
      </c>
    </row>
    <row r="5">
      <c r="A5" s="31" t="inlineStr">
        <is>
          <t>Índice de columna:</t>
        </is>
      </c>
      <c r="B5" s="31">
        <f>MATCH(B3 &amp; " media", Normas!$B$3:$Q$3, 0)</f>
        <v/>
      </c>
    </row>
    <row r="7" ht="26" customHeight="1">
      <c r="A7" s="17" t="inlineStr">
        <is>
          <t>Código</t>
        </is>
      </c>
      <c r="B7" s="17" t="inlineStr">
        <is>
          <t>Nombre EN</t>
        </is>
      </c>
      <c r="C7" s="17" t="inlineStr">
        <is>
          <t>Nombre ES</t>
        </is>
      </c>
      <c r="D7" s="17" t="inlineStr">
        <is>
          <t>Bruto</t>
        </is>
      </c>
      <c r="E7" s="17" t="inlineStr">
        <is>
          <t>Media</t>
        </is>
      </c>
      <c r="F7" s="17" t="inlineStr">
        <is>
          <t>DE</t>
        </is>
      </c>
      <c r="G7" s="17" t="inlineStr">
        <is>
          <t>T</t>
        </is>
      </c>
      <c r="H7" s="17" t="inlineStr">
        <is>
          <t>Nivel</t>
        </is>
      </c>
    </row>
    <row r="8" ht="22" customHeight="1">
      <c r="A8" s="37" t="inlineStr">
        <is>
          <t>DOMINIOS</t>
        </is>
      </c>
    </row>
    <row r="9">
      <c r="A9" s="38" t="inlineStr">
        <is>
          <t>N</t>
        </is>
      </c>
      <c r="B9" s="39" t="inlineStr">
        <is>
          <t>Neuroticism</t>
        </is>
      </c>
      <c r="C9" s="39" t="inlineStr">
        <is>
          <t>Neuroticismo</t>
        </is>
      </c>
      <c r="D9" s="34">
        <f>SUMPRODUCT((LEFT(Test!$B$6:$B$125,1)="N")*IFERROR(VALUE(Test!$G$6:$G$125),0))</f>
        <v/>
      </c>
      <c r="E9" s="34">
        <f>INDEX(Normas!$B$4:$Q$38, MATCH(A9, Normas!$A$4:$A$38, 0), $B$5)</f>
        <v/>
      </c>
      <c r="F9" s="34">
        <f>INDEX(Normas!$B$4:$Q$38, MATCH(A9, Normas!$A$4:$A$38, 0), $B$5+1)</f>
        <v/>
      </c>
      <c r="G9" s="34">
        <f>IF(F9=0,"",ROUND(50 + 10 * (D9 - E9) / F9, 0))</f>
        <v/>
      </c>
      <c r="H9" s="34">
        <f>IF(G9="","",IF(G9&lt;35,"Muy bajo",IF(G9&lt;45,"Bajo",IF(G9&lt;=55,"Promedio",IF(G9&lt;=65,"Alto","Muy alto")))))</f>
        <v/>
      </c>
    </row>
    <row r="10">
      <c r="A10" s="40" t="inlineStr">
        <is>
          <t>E</t>
        </is>
      </c>
      <c r="B10" s="39" t="inlineStr">
        <is>
          <t>Extraversion</t>
        </is>
      </c>
      <c r="C10" s="39" t="inlineStr">
        <is>
          <t>Extraversión</t>
        </is>
      </c>
      <c r="D10" s="34">
        <f>SUMPRODUCT((LEFT(Test!$B$6:$B$125,1)="E")*IFERROR(VALUE(Test!$G$6:$G$125),0))</f>
        <v/>
      </c>
      <c r="E10" s="34">
        <f>INDEX(Normas!$B$4:$Q$38, MATCH(A10, Normas!$A$4:$A$38, 0), $B$5)</f>
        <v/>
      </c>
      <c r="F10" s="34">
        <f>INDEX(Normas!$B$4:$Q$38, MATCH(A10, Normas!$A$4:$A$38, 0), $B$5+1)</f>
        <v/>
      </c>
      <c r="G10" s="34">
        <f>IF(F10=0,"",ROUND(50 + 10 * (D10 - E10) / F10, 0))</f>
        <v/>
      </c>
      <c r="H10" s="34">
        <f>IF(G10="","",IF(G10&lt;35,"Muy bajo",IF(G10&lt;45,"Bajo",IF(G10&lt;=55,"Promedio",IF(G10&lt;=65,"Alto","Muy alto")))))</f>
        <v/>
      </c>
    </row>
    <row r="11">
      <c r="A11" s="41" t="inlineStr">
        <is>
          <t>O</t>
        </is>
      </c>
      <c r="B11" s="39" t="inlineStr">
        <is>
          <t>Openness</t>
        </is>
      </c>
      <c r="C11" s="39" t="inlineStr">
        <is>
          <t>Apertura</t>
        </is>
      </c>
      <c r="D11" s="34">
        <f>SUMPRODUCT((LEFT(Test!$B$6:$B$125,1)="O")*IFERROR(VALUE(Test!$G$6:$G$125),0))</f>
        <v/>
      </c>
      <c r="E11" s="34">
        <f>INDEX(Normas!$B$4:$Q$38, MATCH(A11, Normas!$A$4:$A$38, 0), $B$5)</f>
        <v/>
      </c>
      <c r="F11" s="34">
        <f>INDEX(Normas!$B$4:$Q$38, MATCH(A11, Normas!$A$4:$A$38, 0), $B$5+1)</f>
        <v/>
      </c>
      <c r="G11" s="34">
        <f>IF(F11=0,"",ROUND(50 + 10 * (D11 - E11) / F11, 0))</f>
        <v/>
      </c>
      <c r="H11" s="34">
        <f>IF(G11="","",IF(G11&lt;35,"Muy bajo",IF(G11&lt;45,"Bajo",IF(G11&lt;=55,"Promedio",IF(G11&lt;=65,"Alto","Muy alto")))))</f>
        <v/>
      </c>
    </row>
    <row r="12">
      <c r="A12" s="42" t="inlineStr">
        <is>
          <t>A</t>
        </is>
      </c>
      <c r="B12" s="39" t="inlineStr">
        <is>
          <t>Agreeableness</t>
        </is>
      </c>
      <c r="C12" s="39" t="inlineStr">
        <is>
          <t>Amabilidad</t>
        </is>
      </c>
      <c r="D12" s="34">
        <f>SUMPRODUCT((LEFT(Test!$B$6:$B$125,1)="A")*IFERROR(VALUE(Test!$G$6:$G$125),0))</f>
        <v/>
      </c>
      <c r="E12" s="34">
        <f>INDEX(Normas!$B$4:$Q$38, MATCH(A12, Normas!$A$4:$A$38, 0), $B$5)</f>
        <v/>
      </c>
      <c r="F12" s="34">
        <f>INDEX(Normas!$B$4:$Q$38, MATCH(A12, Normas!$A$4:$A$38, 0), $B$5+1)</f>
        <v/>
      </c>
      <c r="G12" s="34">
        <f>IF(F12=0,"",ROUND(50 + 10 * (D12 - E12) / F12, 0))</f>
        <v/>
      </c>
      <c r="H12" s="34">
        <f>IF(G12="","",IF(G12&lt;35,"Muy bajo",IF(G12&lt;45,"Bajo",IF(G12&lt;=55,"Promedio",IF(G12&lt;=65,"Alto","Muy alto")))))</f>
        <v/>
      </c>
    </row>
    <row r="13">
      <c r="A13" s="43" t="inlineStr">
        <is>
          <t>C</t>
        </is>
      </c>
      <c r="B13" s="39" t="inlineStr">
        <is>
          <t>Conscientiousness</t>
        </is>
      </c>
      <c r="C13" s="39" t="inlineStr">
        <is>
          <t>Responsabilidad</t>
        </is>
      </c>
      <c r="D13" s="34">
        <f>SUMPRODUCT((LEFT(Test!$B$6:$B$125,1)="C")*IFERROR(VALUE(Test!$G$6:$G$125),0))</f>
        <v/>
      </c>
      <c r="E13" s="34">
        <f>INDEX(Normas!$B$4:$Q$38, MATCH(A13, Normas!$A$4:$A$38, 0), $B$5)</f>
        <v/>
      </c>
      <c r="F13" s="34">
        <f>INDEX(Normas!$B$4:$Q$38, MATCH(A13, Normas!$A$4:$A$38, 0), $B$5+1)</f>
        <v/>
      </c>
      <c r="G13" s="34">
        <f>IF(F13=0,"",ROUND(50 + 10 * (D13 - E13) / F13, 0))</f>
        <v/>
      </c>
      <c r="H13" s="34">
        <f>IF(G13="","",IF(G13&lt;35,"Muy bajo",IF(G13&lt;45,"Bajo",IF(G13&lt;=55,"Promedio",IF(G13&lt;=65,"Alto","Muy alto")))))</f>
        <v/>
      </c>
    </row>
    <row r="15" ht="22" customHeight="1">
      <c r="A15" s="37" t="inlineStr">
        <is>
          <t>FACETAS</t>
        </is>
      </c>
    </row>
    <row r="16">
      <c r="A16" s="32" t="inlineStr">
        <is>
          <t>N1</t>
        </is>
      </c>
      <c r="B16" s="21" t="inlineStr">
        <is>
          <t>Anxiety</t>
        </is>
      </c>
      <c r="C16" s="21" t="inlineStr">
        <is>
          <t>Ansiedad</t>
        </is>
      </c>
      <c r="D16" s="32">
        <f>SUMPRODUCT((Test!$B$6:$B$125="N1")*IFERROR(VALUE(Test!$G$6:$G$125),0))</f>
        <v/>
      </c>
      <c r="E16" s="32">
        <f>INDEX(Normas!$B$4:$Q$38, MATCH(A16, Normas!$A$4:$A$38, 0), $B$5)</f>
        <v/>
      </c>
      <c r="F16" s="32">
        <f>INDEX(Normas!$B$4:$Q$38, MATCH(A16, Normas!$A$4:$A$38, 0), $B$5+1)</f>
        <v/>
      </c>
      <c r="G16" s="32">
        <f>IF(F16=0,"",ROUND(50 + 10 * (D16 - E16) / F16, 0))</f>
        <v/>
      </c>
      <c r="H16" s="32">
        <f>IF(G16="","",IF(G16&lt;35,"Muy bajo",IF(G16&lt;45,"Bajo",IF(G16&lt;=55,"Promedio",IF(G16&lt;=65,"Alto","Muy alto")))))</f>
        <v/>
      </c>
    </row>
    <row r="17">
      <c r="A17" s="33" t="inlineStr">
        <is>
          <t>N2</t>
        </is>
      </c>
      <c r="B17" s="26" t="inlineStr">
        <is>
          <t>Anger</t>
        </is>
      </c>
      <c r="C17" s="26" t="inlineStr">
        <is>
          <t>Ira</t>
        </is>
      </c>
      <c r="D17" s="33">
        <f>SUMPRODUCT((Test!$B$6:$B$125="N2")*IFERROR(VALUE(Test!$G$6:$G$125),0))</f>
        <v/>
      </c>
      <c r="E17" s="33">
        <f>INDEX(Normas!$B$4:$Q$38, MATCH(A17, Normas!$A$4:$A$38, 0), $B$5)</f>
        <v/>
      </c>
      <c r="F17" s="33">
        <f>INDEX(Normas!$B$4:$Q$38, MATCH(A17, Normas!$A$4:$A$38, 0), $B$5+1)</f>
        <v/>
      </c>
      <c r="G17" s="33">
        <f>IF(F17=0,"",ROUND(50 + 10 * (D17 - E17) / F17, 0))</f>
        <v/>
      </c>
      <c r="H17" s="33">
        <f>IF(G17="","",IF(G17&lt;35,"Muy bajo",IF(G17&lt;45,"Bajo",IF(G17&lt;=55,"Promedio",IF(G17&lt;=65,"Alto","Muy alto")))))</f>
        <v/>
      </c>
    </row>
    <row r="18">
      <c r="A18" s="32" t="inlineStr">
        <is>
          <t>N3</t>
        </is>
      </c>
      <c r="B18" s="21" t="inlineStr">
        <is>
          <t>Depression</t>
        </is>
      </c>
      <c r="C18" s="21" t="inlineStr">
        <is>
          <t>Depresión</t>
        </is>
      </c>
      <c r="D18" s="32">
        <f>SUMPRODUCT((Test!$B$6:$B$125="N3")*IFERROR(VALUE(Test!$G$6:$G$125),0))</f>
        <v/>
      </c>
      <c r="E18" s="32">
        <f>INDEX(Normas!$B$4:$Q$38, MATCH(A18, Normas!$A$4:$A$38, 0), $B$5)</f>
        <v/>
      </c>
      <c r="F18" s="32">
        <f>INDEX(Normas!$B$4:$Q$38, MATCH(A18, Normas!$A$4:$A$38, 0), $B$5+1)</f>
        <v/>
      </c>
      <c r="G18" s="32">
        <f>IF(F18=0,"",ROUND(50 + 10 * (D18 - E18) / F18, 0))</f>
        <v/>
      </c>
      <c r="H18" s="32">
        <f>IF(G18="","",IF(G18&lt;35,"Muy bajo",IF(G18&lt;45,"Bajo",IF(G18&lt;=55,"Promedio",IF(G18&lt;=65,"Alto","Muy alto")))))</f>
        <v/>
      </c>
    </row>
    <row r="19">
      <c r="A19" s="33" t="inlineStr">
        <is>
          <t>N4</t>
        </is>
      </c>
      <c r="B19" s="26" t="inlineStr">
        <is>
          <t>Self-consciousness</t>
        </is>
      </c>
      <c r="C19" s="26" t="inlineStr">
        <is>
          <t>Autoconciencia</t>
        </is>
      </c>
      <c r="D19" s="33">
        <f>SUMPRODUCT((Test!$B$6:$B$125="N4")*IFERROR(VALUE(Test!$G$6:$G$125),0))</f>
        <v/>
      </c>
      <c r="E19" s="33">
        <f>INDEX(Normas!$B$4:$Q$38, MATCH(A19, Normas!$A$4:$A$38, 0), $B$5)</f>
        <v/>
      </c>
      <c r="F19" s="33">
        <f>INDEX(Normas!$B$4:$Q$38, MATCH(A19, Normas!$A$4:$A$38, 0), $B$5+1)</f>
        <v/>
      </c>
      <c r="G19" s="33">
        <f>IF(F19=0,"",ROUND(50 + 10 * (D19 - E19) / F19, 0))</f>
        <v/>
      </c>
      <c r="H19" s="33">
        <f>IF(G19="","",IF(G19&lt;35,"Muy bajo",IF(G19&lt;45,"Bajo",IF(G19&lt;=55,"Promedio",IF(G19&lt;=65,"Alto","Muy alto")))))</f>
        <v/>
      </c>
    </row>
    <row r="20">
      <c r="A20" s="32" t="inlineStr">
        <is>
          <t>N5</t>
        </is>
      </c>
      <c r="B20" s="21" t="inlineStr">
        <is>
          <t>Immoderation</t>
        </is>
      </c>
      <c r="C20" s="21" t="inlineStr">
        <is>
          <t>Inmoderación</t>
        </is>
      </c>
      <c r="D20" s="32">
        <f>SUMPRODUCT((Test!$B$6:$B$125="N5")*IFERROR(VALUE(Test!$G$6:$G$125),0))</f>
        <v/>
      </c>
      <c r="E20" s="32">
        <f>INDEX(Normas!$B$4:$Q$38, MATCH(A20, Normas!$A$4:$A$38, 0), $B$5)</f>
        <v/>
      </c>
      <c r="F20" s="32">
        <f>INDEX(Normas!$B$4:$Q$38, MATCH(A20, Normas!$A$4:$A$38, 0), $B$5+1)</f>
        <v/>
      </c>
      <c r="G20" s="32">
        <f>IF(F20=0,"",ROUND(50 + 10 * (D20 - E20) / F20, 0))</f>
        <v/>
      </c>
      <c r="H20" s="32">
        <f>IF(G20="","",IF(G20&lt;35,"Muy bajo",IF(G20&lt;45,"Bajo",IF(G20&lt;=55,"Promedio",IF(G20&lt;=65,"Alto","Muy alto")))))</f>
        <v/>
      </c>
    </row>
    <row r="21">
      <c r="A21" s="33" t="inlineStr">
        <is>
          <t>N6</t>
        </is>
      </c>
      <c r="B21" s="26" t="inlineStr">
        <is>
          <t>Vulnerability</t>
        </is>
      </c>
      <c r="C21" s="26" t="inlineStr">
        <is>
          <t>Vulnerabilidad</t>
        </is>
      </c>
      <c r="D21" s="33">
        <f>SUMPRODUCT((Test!$B$6:$B$125="N6")*IFERROR(VALUE(Test!$G$6:$G$125),0))</f>
        <v/>
      </c>
      <c r="E21" s="33">
        <f>INDEX(Normas!$B$4:$Q$38, MATCH(A21, Normas!$A$4:$A$38, 0), $B$5)</f>
        <v/>
      </c>
      <c r="F21" s="33">
        <f>INDEX(Normas!$B$4:$Q$38, MATCH(A21, Normas!$A$4:$A$38, 0), $B$5+1)</f>
        <v/>
      </c>
      <c r="G21" s="33">
        <f>IF(F21=0,"",ROUND(50 + 10 * (D21 - E21) / F21, 0))</f>
        <v/>
      </c>
      <c r="H21" s="33">
        <f>IF(G21="","",IF(G21&lt;35,"Muy bajo",IF(G21&lt;45,"Bajo",IF(G21&lt;=55,"Promedio",IF(G21&lt;=65,"Alto","Muy alto")))))</f>
        <v/>
      </c>
    </row>
    <row r="22">
      <c r="A22" s="32" t="inlineStr">
        <is>
          <t>E1</t>
        </is>
      </c>
      <c r="B22" s="21" t="inlineStr">
        <is>
          <t>Friendliness</t>
        </is>
      </c>
      <c r="C22" s="21" t="inlineStr">
        <is>
          <t>Amabilidad social</t>
        </is>
      </c>
      <c r="D22" s="32">
        <f>SUMPRODUCT((Test!$B$6:$B$125="E1")*IFERROR(VALUE(Test!$G$6:$G$125),0))</f>
        <v/>
      </c>
      <c r="E22" s="32">
        <f>INDEX(Normas!$B$4:$Q$38, MATCH(A22, Normas!$A$4:$A$38, 0), $B$5)</f>
        <v/>
      </c>
      <c r="F22" s="32">
        <f>INDEX(Normas!$B$4:$Q$38, MATCH(A22, Normas!$A$4:$A$38, 0), $B$5+1)</f>
        <v/>
      </c>
      <c r="G22" s="32">
        <f>IF(F22=0,"",ROUND(50 + 10 * (D22 - E22) / F22, 0))</f>
        <v/>
      </c>
      <c r="H22" s="32">
        <f>IF(G22="","",IF(G22&lt;35,"Muy bajo",IF(G22&lt;45,"Bajo",IF(G22&lt;=55,"Promedio",IF(G22&lt;=65,"Alto","Muy alto")))))</f>
        <v/>
      </c>
    </row>
    <row r="23">
      <c r="A23" s="33" t="inlineStr">
        <is>
          <t>E2</t>
        </is>
      </c>
      <c r="B23" s="26" t="inlineStr">
        <is>
          <t>Gregariousness</t>
        </is>
      </c>
      <c r="C23" s="26" t="inlineStr">
        <is>
          <t>Gregarismo</t>
        </is>
      </c>
      <c r="D23" s="33">
        <f>SUMPRODUCT((Test!$B$6:$B$125="E2")*IFERROR(VALUE(Test!$G$6:$G$125),0))</f>
        <v/>
      </c>
      <c r="E23" s="33">
        <f>INDEX(Normas!$B$4:$Q$38, MATCH(A23, Normas!$A$4:$A$38, 0), $B$5)</f>
        <v/>
      </c>
      <c r="F23" s="33">
        <f>INDEX(Normas!$B$4:$Q$38, MATCH(A23, Normas!$A$4:$A$38, 0), $B$5+1)</f>
        <v/>
      </c>
      <c r="G23" s="33">
        <f>IF(F23=0,"",ROUND(50 + 10 * (D23 - E23) / F23, 0))</f>
        <v/>
      </c>
      <c r="H23" s="33">
        <f>IF(G23="","",IF(G23&lt;35,"Muy bajo",IF(G23&lt;45,"Bajo",IF(G23&lt;=55,"Promedio",IF(G23&lt;=65,"Alto","Muy alto")))))</f>
        <v/>
      </c>
    </row>
    <row r="24">
      <c r="A24" s="32" t="inlineStr">
        <is>
          <t>E3</t>
        </is>
      </c>
      <c r="B24" s="21" t="inlineStr">
        <is>
          <t>Assertiveness</t>
        </is>
      </c>
      <c r="C24" s="21" t="inlineStr">
        <is>
          <t>Asertividad</t>
        </is>
      </c>
      <c r="D24" s="32">
        <f>SUMPRODUCT((Test!$B$6:$B$125="E3")*IFERROR(VALUE(Test!$G$6:$G$125),0))</f>
        <v/>
      </c>
      <c r="E24" s="32">
        <f>INDEX(Normas!$B$4:$Q$38, MATCH(A24, Normas!$A$4:$A$38, 0), $B$5)</f>
        <v/>
      </c>
      <c r="F24" s="32">
        <f>INDEX(Normas!$B$4:$Q$38, MATCH(A24, Normas!$A$4:$A$38, 0), $B$5+1)</f>
        <v/>
      </c>
      <c r="G24" s="32">
        <f>IF(F24=0,"",ROUND(50 + 10 * (D24 - E24) / F24, 0))</f>
        <v/>
      </c>
      <c r="H24" s="32">
        <f>IF(G24="","",IF(G24&lt;35,"Muy bajo",IF(G24&lt;45,"Bajo",IF(G24&lt;=55,"Promedio",IF(G24&lt;=65,"Alto","Muy alto")))))</f>
        <v/>
      </c>
    </row>
    <row r="25">
      <c r="A25" s="33" t="inlineStr">
        <is>
          <t>E4</t>
        </is>
      </c>
      <c r="B25" s="26" t="inlineStr">
        <is>
          <t>Activity Level</t>
        </is>
      </c>
      <c r="C25" s="26" t="inlineStr">
        <is>
          <t>Actividad</t>
        </is>
      </c>
      <c r="D25" s="33">
        <f>SUMPRODUCT((Test!$B$6:$B$125="E4")*IFERROR(VALUE(Test!$G$6:$G$125),0))</f>
        <v/>
      </c>
      <c r="E25" s="33">
        <f>INDEX(Normas!$B$4:$Q$38, MATCH(A25, Normas!$A$4:$A$38, 0), $B$5)</f>
        <v/>
      </c>
      <c r="F25" s="33">
        <f>INDEX(Normas!$B$4:$Q$38, MATCH(A25, Normas!$A$4:$A$38, 0), $B$5+1)</f>
        <v/>
      </c>
      <c r="G25" s="33">
        <f>IF(F25=0,"",ROUND(50 + 10 * (D25 - E25) / F25, 0))</f>
        <v/>
      </c>
      <c r="H25" s="33">
        <f>IF(G25="","",IF(G25&lt;35,"Muy bajo",IF(G25&lt;45,"Bajo",IF(G25&lt;=55,"Promedio",IF(G25&lt;=65,"Alto","Muy alto")))))</f>
        <v/>
      </c>
    </row>
    <row r="26">
      <c r="A26" s="32" t="inlineStr">
        <is>
          <t>E5</t>
        </is>
      </c>
      <c r="B26" s="21" t="inlineStr">
        <is>
          <t>Excitement-seeking</t>
        </is>
      </c>
      <c r="C26" s="21" t="inlineStr">
        <is>
          <t>Búsqueda de emociones</t>
        </is>
      </c>
      <c r="D26" s="32">
        <f>SUMPRODUCT((Test!$B$6:$B$125="E5")*IFERROR(VALUE(Test!$G$6:$G$125),0))</f>
        <v/>
      </c>
      <c r="E26" s="32">
        <f>INDEX(Normas!$B$4:$Q$38, MATCH(A26, Normas!$A$4:$A$38, 0), $B$5)</f>
        <v/>
      </c>
      <c r="F26" s="32">
        <f>INDEX(Normas!$B$4:$Q$38, MATCH(A26, Normas!$A$4:$A$38, 0), $B$5+1)</f>
        <v/>
      </c>
      <c r="G26" s="32">
        <f>IF(F26=0,"",ROUND(50 + 10 * (D26 - E26) / F26, 0))</f>
        <v/>
      </c>
      <c r="H26" s="32">
        <f>IF(G26="","",IF(G26&lt;35,"Muy bajo",IF(G26&lt;45,"Bajo",IF(G26&lt;=55,"Promedio",IF(G26&lt;=65,"Alto","Muy alto")))))</f>
        <v/>
      </c>
    </row>
    <row r="27">
      <c r="A27" s="33" t="inlineStr">
        <is>
          <t>E6</t>
        </is>
      </c>
      <c r="B27" s="26" t="inlineStr">
        <is>
          <t>Cheerfulness</t>
        </is>
      </c>
      <c r="C27" s="26" t="inlineStr">
        <is>
          <t>Alegría</t>
        </is>
      </c>
      <c r="D27" s="33">
        <f>SUMPRODUCT((Test!$B$6:$B$125="E6")*IFERROR(VALUE(Test!$G$6:$G$125),0))</f>
        <v/>
      </c>
      <c r="E27" s="33">
        <f>INDEX(Normas!$B$4:$Q$38, MATCH(A27, Normas!$A$4:$A$38, 0), $B$5)</f>
        <v/>
      </c>
      <c r="F27" s="33">
        <f>INDEX(Normas!$B$4:$Q$38, MATCH(A27, Normas!$A$4:$A$38, 0), $B$5+1)</f>
        <v/>
      </c>
      <c r="G27" s="33">
        <f>IF(F27=0,"",ROUND(50 + 10 * (D27 - E27) / F27, 0))</f>
        <v/>
      </c>
      <c r="H27" s="33">
        <f>IF(G27="","",IF(G27&lt;35,"Muy bajo",IF(G27&lt;45,"Bajo",IF(G27&lt;=55,"Promedio",IF(G27&lt;=65,"Alto","Muy alto")))))</f>
        <v/>
      </c>
    </row>
    <row r="28">
      <c r="A28" s="32" t="inlineStr">
        <is>
          <t>O1</t>
        </is>
      </c>
      <c r="B28" s="21" t="inlineStr">
        <is>
          <t>Imagination</t>
        </is>
      </c>
      <c r="C28" s="21" t="inlineStr">
        <is>
          <t>Imaginación</t>
        </is>
      </c>
      <c r="D28" s="32">
        <f>SUMPRODUCT((Test!$B$6:$B$125="O1")*IFERROR(VALUE(Test!$G$6:$G$125),0))</f>
        <v/>
      </c>
      <c r="E28" s="32">
        <f>INDEX(Normas!$B$4:$Q$38, MATCH(A28, Normas!$A$4:$A$38, 0), $B$5)</f>
        <v/>
      </c>
      <c r="F28" s="32">
        <f>INDEX(Normas!$B$4:$Q$38, MATCH(A28, Normas!$A$4:$A$38, 0), $B$5+1)</f>
        <v/>
      </c>
      <c r="G28" s="32">
        <f>IF(F28=0,"",ROUND(50 + 10 * (D28 - E28) / F28, 0))</f>
        <v/>
      </c>
      <c r="H28" s="32">
        <f>IF(G28="","",IF(G28&lt;35,"Muy bajo",IF(G28&lt;45,"Bajo",IF(G28&lt;=55,"Promedio",IF(G28&lt;=65,"Alto","Muy alto")))))</f>
        <v/>
      </c>
    </row>
    <row r="29">
      <c r="A29" s="33" t="inlineStr">
        <is>
          <t>O2</t>
        </is>
      </c>
      <c r="B29" s="26" t="inlineStr">
        <is>
          <t>Artistic Interests</t>
        </is>
      </c>
      <c r="C29" s="26" t="inlineStr">
        <is>
          <t>Interés artístico</t>
        </is>
      </c>
      <c r="D29" s="33">
        <f>SUMPRODUCT((Test!$B$6:$B$125="O2")*IFERROR(VALUE(Test!$G$6:$G$125),0))</f>
        <v/>
      </c>
      <c r="E29" s="33">
        <f>INDEX(Normas!$B$4:$Q$38, MATCH(A29, Normas!$A$4:$A$38, 0), $B$5)</f>
        <v/>
      </c>
      <c r="F29" s="33">
        <f>INDEX(Normas!$B$4:$Q$38, MATCH(A29, Normas!$A$4:$A$38, 0), $B$5+1)</f>
        <v/>
      </c>
      <c r="G29" s="33">
        <f>IF(F29=0,"",ROUND(50 + 10 * (D29 - E29) / F29, 0))</f>
        <v/>
      </c>
      <c r="H29" s="33">
        <f>IF(G29="","",IF(G29&lt;35,"Muy bajo",IF(G29&lt;45,"Bajo",IF(G29&lt;=55,"Promedio",IF(G29&lt;=65,"Alto","Muy alto")))))</f>
        <v/>
      </c>
    </row>
    <row r="30">
      <c r="A30" s="32" t="inlineStr">
        <is>
          <t>O3</t>
        </is>
      </c>
      <c r="B30" s="21" t="inlineStr">
        <is>
          <t>Emotionality</t>
        </is>
      </c>
      <c r="C30" s="21" t="inlineStr">
        <is>
          <t>Emocionalidad</t>
        </is>
      </c>
      <c r="D30" s="32">
        <f>SUMPRODUCT((Test!$B$6:$B$125="O3")*IFERROR(VALUE(Test!$G$6:$G$125),0))</f>
        <v/>
      </c>
      <c r="E30" s="32">
        <f>INDEX(Normas!$B$4:$Q$38, MATCH(A30, Normas!$A$4:$A$38, 0), $B$5)</f>
        <v/>
      </c>
      <c r="F30" s="32">
        <f>INDEX(Normas!$B$4:$Q$38, MATCH(A30, Normas!$A$4:$A$38, 0), $B$5+1)</f>
        <v/>
      </c>
      <c r="G30" s="32">
        <f>IF(F30=0,"",ROUND(50 + 10 * (D30 - E30) / F30, 0))</f>
        <v/>
      </c>
      <c r="H30" s="32">
        <f>IF(G30="","",IF(G30&lt;35,"Muy bajo",IF(G30&lt;45,"Bajo",IF(G30&lt;=55,"Promedio",IF(G30&lt;=65,"Alto","Muy alto")))))</f>
        <v/>
      </c>
    </row>
    <row r="31">
      <c r="A31" s="33" t="inlineStr">
        <is>
          <t>O4</t>
        </is>
      </c>
      <c r="B31" s="26" t="inlineStr">
        <is>
          <t>Adventurousness</t>
        </is>
      </c>
      <c r="C31" s="26" t="inlineStr">
        <is>
          <t>Sentido de aventura</t>
        </is>
      </c>
      <c r="D31" s="33">
        <f>SUMPRODUCT((Test!$B$6:$B$125="O4")*IFERROR(VALUE(Test!$G$6:$G$125),0))</f>
        <v/>
      </c>
      <c r="E31" s="33">
        <f>INDEX(Normas!$B$4:$Q$38, MATCH(A31, Normas!$A$4:$A$38, 0), $B$5)</f>
        <v/>
      </c>
      <c r="F31" s="33">
        <f>INDEX(Normas!$B$4:$Q$38, MATCH(A31, Normas!$A$4:$A$38, 0), $B$5+1)</f>
        <v/>
      </c>
      <c r="G31" s="33">
        <f>IF(F31=0,"",ROUND(50 + 10 * (D31 - E31) / F31, 0))</f>
        <v/>
      </c>
      <c r="H31" s="33">
        <f>IF(G31="","",IF(G31&lt;35,"Muy bajo",IF(G31&lt;45,"Bajo",IF(G31&lt;=55,"Promedio",IF(G31&lt;=65,"Alto","Muy alto")))))</f>
        <v/>
      </c>
    </row>
    <row r="32">
      <c r="A32" s="32" t="inlineStr">
        <is>
          <t>O5</t>
        </is>
      </c>
      <c r="B32" s="21" t="inlineStr">
        <is>
          <t>Intellect</t>
        </is>
      </c>
      <c r="C32" s="21" t="inlineStr">
        <is>
          <t>Intelecto</t>
        </is>
      </c>
      <c r="D32" s="32">
        <f>SUMPRODUCT((Test!$B$6:$B$125="O5")*IFERROR(VALUE(Test!$G$6:$G$125),0))</f>
        <v/>
      </c>
      <c r="E32" s="32">
        <f>INDEX(Normas!$B$4:$Q$38, MATCH(A32, Normas!$A$4:$A$38, 0), $B$5)</f>
        <v/>
      </c>
      <c r="F32" s="32">
        <f>INDEX(Normas!$B$4:$Q$38, MATCH(A32, Normas!$A$4:$A$38, 0), $B$5+1)</f>
        <v/>
      </c>
      <c r="G32" s="32">
        <f>IF(F32=0,"",ROUND(50 + 10 * (D32 - E32) / F32, 0))</f>
        <v/>
      </c>
      <c r="H32" s="32">
        <f>IF(G32="","",IF(G32&lt;35,"Muy bajo",IF(G32&lt;45,"Bajo",IF(G32&lt;=55,"Promedio",IF(G32&lt;=65,"Alto","Muy alto")))))</f>
        <v/>
      </c>
    </row>
    <row r="33">
      <c r="A33" s="33" t="inlineStr">
        <is>
          <t>O6</t>
        </is>
      </c>
      <c r="B33" s="26" t="inlineStr">
        <is>
          <t>Liberalism</t>
        </is>
      </c>
      <c r="C33" s="26" t="inlineStr">
        <is>
          <t>Liberalismo</t>
        </is>
      </c>
      <c r="D33" s="33">
        <f>SUMPRODUCT((Test!$B$6:$B$125="O6")*IFERROR(VALUE(Test!$G$6:$G$125),0))</f>
        <v/>
      </c>
      <c r="E33" s="33">
        <f>INDEX(Normas!$B$4:$Q$38, MATCH(A33, Normas!$A$4:$A$38, 0), $B$5)</f>
        <v/>
      </c>
      <c r="F33" s="33">
        <f>INDEX(Normas!$B$4:$Q$38, MATCH(A33, Normas!$A$4:$A$38, 0), $B$5+1)</f>
        <v/>
      </c>
      <c r="G33" s="33">
        <f>IF(F33=0,"",ROUND(50 + 10 * (D33 - E33) / F33, 0))</f>
        <v/>
      </c>
      <c r="H33" s="33">
        <f>IF(G33="","",IF(G33&lt;35,"Muy bajo",IF(G33&lt;45,"Bajo",IF(G33&lt;=55,"Promedio",IF(G33&lt;=65,"Alto","Muy alto")))))</f>
        <v/>
      </c>
    </row>
    <row r="34">
      <c r="A34" s="32" t="inlineStr">
        <is>
          <t>A1</t>
        </is>
      </c>
      <c r="B34" s="21" t="inlineStr">
        <is>
          <t>Trust</t>
        </is>
      </c>
      <c r="C34" s="21" t="inlineStr">
        <is>
          <t>Confianza</t>
        </is>
      </c>
      <c r="D34" s="32">
        <f>SUMPRODUCT((Test!$B$6:$B$125="A1")*IFERROR(VALUE(Test!$G$6:$G$125),0))</f>
        <v/>
      </c>
      <c r="E34" s="32">
        <f>INDEX(Normas!$B$4:$Q$38, MATCH(A34, Normas!$A$4:$A$38, 0), $B$5)</f>
        <v/>
      </c>
      <c r="F34" s="32">
        <f>INDEX(Normas!$B$4:$Q$38, MATCH(A34, Normas!$A$4:$A$38, 0), $B$5+1)</f>
        <v/>
      </c>
      <c r="G34" s="32">
        <f>IF(F34=0,"",ROUND(50 + 10 * (D34 - E34) / F34, 0))</f>
        <v/>
      </c>
      <c r="H34" s="32">
        <f>IF(G34="","",IF(G34&lt;35,"Muy bajo",IF(G34&lt;45,"Bajo",IF(G34&lt;=55,"Promedio",IF(G34&lt;=65,"Alto","Muy alto")))))</f>
        <v/>
      </c>
    </row>
    <row r="35">
      <c r="A35" s="33" t="inlineStr">
        <is>
          <t>A2</t>
        </is>
      </c>
      <c r="B35" s="26" t="inlineStr">
        <is>
          <t>Morality</t>
        </is>
      </c>
      <c r="C35" s="26" t="inlineStr">
        <is>
          <t>Moralidad</t>
        </is>
      </c>
      <c r="D35" s="33">
        <f>SUMPRODUCT((Test!$B$6:$B$125="A2")*IFERROR(VALUE(Test!$G$6:$G$125),0))</f>
        <v/>
      </c>
      <c r="E35" s="33">
        <f>INDEX(Normas!$B$4:$Q$38, MATCH(A35, Normas!$A$4:$A$38, 0), $B$5)</f>
        <v/>
      </c>
      <c r="F35" s="33">
        <f>INDEX(Normas!$B$4:$Q$38, MATCH(A35, Normas!$A$4:$A$38, 0), $B$5+1)</f>
        <v/>
      </c>
      <c r="G35" s="33">
        <f>IF(F35=0,"",ROUND(50 + 10 * (D35 - E35) / F35, 0))</f>
        <v/>
      </c>
      <c r="H35" s="33">
        <f>IF(G35="","",IF(G35&lt;35,"Muy bajo",IF(G35&lt;45,"Bajo",IF(G35&lt;=55,"Promedio",IF(G35&lt;=65,"Alto","Muy alto")))))</f>
        <v/>
      </c>
    </row>
    <row r="36">
      <c r="A36" s="32" t="inlineStr">
        <is>
          <t>A3</t>
        </is>
      </c>
      <c r="B36" s="21" t="inlineStr">
        <is>
          <t>Altruism</t>
        </is>
      </c>
      <c r="C36" s="21" t="inlineStr">
        <is>
          <t>Altruismo</t>
        </is>
      </c>
      <c r="D36" s="32">
        <f>SUMPRODUCT((Test!$B$6:$B$125="A3")*IFERROR(VALUE(Test!$G$6:$G$125),0))</f>
        <v/>
      </c>
      <c r="E36" s="32">
        <f>INDEX(Normas!$B$4:$Q$38, MATCH(A36, Normas!$A$4:$A$38, 0), $B$5)</f>
        <v/>
      </c>
      <c r="F36" s="32">
        <f>INDEX(Normas!$B$4:$Q$38, MATCH(A36, Normas!$A$4:$A$38, 0), $B$5+1)</f>
        <v/>
      </c>
      <c r="G36" s="32">
        <f>IF(F36=0,"",ROUND(50 + 10 * (D36 - E36) / F36, 0))</f>
        <v/>
      </c>
      <c r="H36" s="32">
        <f>IF(G36="","",IF(G36&lt;35,"Muy bajo",IF(G36&lt;45,"Bajo",IF(G36&lt;=55,"Promedio",IF(G36&lt;=65,"Alto","Muy alto")))))</f>
        <v/>
      </c>
    </row>
    <row r="37">
      <c r="A37" s="33" t="inlineStr">
        <is>
          <t>A4</t>
        </is>
      </c>
      <c r="B37" s="26" t="inlineStr">
        <is>
          <t>Cooperation</t>
        </is>
      </c>
      <c r="C37" s="26" t="inlineStr">
        <is>
          <t>Cooperación</t>
        </is>
      </c>
      <c r="D37" s="33">
        <f>SUMPRODUCT((Test!$B$6:$B$125="A4")*IFERROR(VALUE(Test!$G$6:$G$125),0))</f>
        <v/>
      </c>
      <c r="E37" s="33">
        <f>INDEX(Normas!$B$4:$Q$38, MATCH(A37, Normas!$A$4:$A$38, 0), $B$5)</f>
        <v/>
      </c>
      <c r="F37" s="33">
        <f>INDEX(Normas!$B$4:$Q$38, MATCH(A37, Normas!$A$4:$A$38, 0), $B$5+1)</f>
        <v/>
      </c>
      <c r="G37" s="33">
        <f>IF(F37=0,"",ROUND(50 + 10 * (D37 - E37) / F37, 0))</f>
        <v/>
      </c>
      <c r="H37" s="33">
        <f>IF(G37="","",IF(G37&lt;35,"Muy bajo",IF(G37&lt;45,"Bajo",IF(G37&lt;=55,"Promedio",IF(G37&lt;=65,"Alto","Muy alto")))))</f>
        <v/>
      </c>
    </row>
    <row r="38">
      <c r="A38" s="32" t="inlineStr">
        <is>
          <t>A5</t>
        </is>
      </c>
      <c r="B38" s="21" t="inlineStr">
        <is>
          <t>Modesty</t>
        </is>
      </c>
      <c r="C38" s="21" t="inlineStr">
        <is>
          <t>Modestia</t>
        </is>
      </c>
      <c r="D38" s="32">
        <f>SUMPRODUCT((Test!$B$6:$B$125="A5")*IFERROR(VALUE(Test!$G$6:$G$125),0))</f>
        <v/>
      </c>
      <c r="E38" s="32">
        <f>INDEX(Normas!$B$4:$Q$38, MATCH(A38, Normas!$A$4:$A$38, 0), $B$5)</f>
        <v/>
      </c>
      <c r="F38" s="32">
        <f>INDEX(Normas!$B$4:$Q$38, MATCH(A38, Normas!$A$4:$A$38, 0), $B$5+1)</f>
        <v/>
      </c>
      <c r="G38" s="32">
        <f>IF(F38=0,"",ROUND(50 + 10 * (D38 - E38) / F38, 0))</f>
        <v/>
      </c>
      <c r="H38" s="32">
        <f>IF(G38="","",IF(G38&lt;35,"Muy bajo",IF(G38&lt;45,"Bajo",IF(G38&lt;=55,"Promedio",IF(G38&lt;=65,"Alto","Muy alto")))))</f>
        <v/>
      </c>
    </row>
    <row r="39">
      <c r="A39" s="33" t="inlineStr">
        <is>
          <t>A6</t>
        </is>
      </c>
      <c r="B39" s="26" t="inlineStr">
        <is>
          <t>Sympathy</t>
        </is>
      </c>
      <c r="C39" s="26" t="inlineStr">
        <is>
          <t>Simpatía</t>
        </is>
      </c>
      <c r="D39" s="33">
        <f>SUMPRODUCT((Test!$B$6:$B$125="A6")*IFERROR(VALUE(Test!$G$6:$G$125),0))</f>
        <v/>
      </c>
      <c r="E39" s="33">
        <f>INDEX(Normas!$B$4:$Q$38, MATCH(A39, Normas!$A$4:$A$38, 0), $B$5)</f>
        <v/>
      </c>
      <c r="F39" s="33">
        <f>INDEX(Normas!$B$4:$Q$38, MATCH(A39, Normas!$A$4:$A$38, 0), $B$5+1)</f>
        <v/>
      </c>
      <c r="G39" s="33">
        <f>IF(F39=0,"",ROUND(50 + 10 * (D39 - E39) / F39, 0))</f>
        <v/>
      </c>
      <c r="H39" s="33">
        <f>IF(G39="","",IF(G39&lt;35,"Muy bajo",IF(G39&lt;45,"Bajo",IF(G39&lt;=55,"Promedio",IF(G39&lt;=65,"Alto","Muy alto")))))</f>
        <v/>
      </c>
    </row>
    <row r="40">
      <c r="A40" s="32" t="inlineStr">
        <is>
          <t>C1</t>
        </is>
      </c>
      <c r="B40" s="21" t="inlineStr">
        <is>
          <t>Self-efficacy</t>
        </is>
      </c>
      <c r="C40" s="21" t="inlineStr">
        <is>
          <t>Autoeficacia</t>
        </is>
      </c>
      <c r="D40" s="32">
        <f>SUMPRODUCT((Test!$B$6:$B$125="C1")*IFERROR(VALUE(Test!$G$6:$G$125),0))</f>
        <v/>
      </c>
      <c r="E40" s="32">
        <f>INDEX(Normas!$B$4:$Q$38, MATCH(A40, Normas!$A$4:$A$38, 0), $B$5)</f>
        <v/>
      </c>
      <c r="F40" s="32">
        <f>INDEX(Normas!$B$4:$Q$38, MATCH(A40, Normas!$A$4:$A$38, 0), $B$5+1)</f>
        <v/>
      </c>
      <c r="G40" s="32">
        <f>IF(F40=0,"",ROUND(50 + 10 * (D40 - E40) / F40, 0))</f>
        <v/>
      </c>
      <c r="H40" s="32">
        <f>IF(G40="","",IF(G40&lt;35,"Muy bajo",IF(G40&lt;45,"Bajo",IF(G40&lt;=55,"Promedio",IF(G40&lt;=65,"Alto","Muy alto")))))</f>
        <v/>
      </c>
    </row>
    <row r="41">
      <c r="A41" s="33" t="inlineStr">
        <is>
          <t>C2</t>
        </is>
      </c>
      <c r="B41" s="26" t="inlineStr">
        <is>
          <t>Orderliness</t>
        </is>
      </c>
      <c r="C41" s="26" t="inlineStr">
        <is>
          <t>Orden</t>
        </is>
      </c>
      <c r="D41" s="33">
        <f>SUMPRODUCT((Test!$B$6:$B$125="C2")*IFERROR(VALUE(Test!$G$6:$G$125),0))</f>
        <v/>
      </c>
      <c r="E41" s="33">
        <f>INDEX(Normas!$B$4:$Q$38, MATCH(A41, Normas!$A$4:$A$38, 0), $B$5)</f>
        <v/>
      </c>
      <c r="F41" s="33">
        <f>INDEX(Normas!$B$4:$Q$38, MATCH(A41, Normas!$A$4:$A$38, 0), $B$5+1)</f>
        <v/>
      </c>
      <c r="G41" s="33">
        <f>IF(F41=0,"",ROUND(50 + 10 * (D41 - E41) / F41, 0))</f>
        <v/>
      </c>
      <c r="H41" s="33">
        <f>IF(G41="","",IF(G41&lt;35,"Muy bajo",IF(G41&lt;45,"Bajo",IF(G41&lt;=55,"Promedio",IF(G41&lt;=65,"Alto","Muy alto")))))</f>
        <v/>
      </c>
    </row>
    <row r="42">
      <c r="A42" s="32" t="inlineStr">
        <is>
          <t>C3</t>
        </is>
      </c>
      <c r="B42" s="21" t="inlineStr">
        <is>
          <t>Dutifulness</t>
        </is>
      </c>
      <c r="C42" s="21" t="inlineStr">
        <is>
          <t>Sentido del deber</t>
        </is>
      </c>
      <c r="D42" s="32">
        <f>SUMPRODUCT((Test!$B$6:$B$125="C3")*IFERROR(VALUE(Test!$G$6:$G$125),0))</f>
        <v/>
      </c>
      <c r="E42" s="32">
        <f>INDEX(Normas!$B$4:$Q$38, MATCH(A42, Normas!$A$4:$A$38, 0), $B$5)</f>
        <v/>
      </c>
      <c r="F42" s="32">
        <f>INDEX(Normas!$B$4:$Q$38, MATCH(A42, Normas!$A$4:$A$38, 0), $B$5+1)</f>
        <v/>
      </c>
      <c r="G42" s="32">
        <f>IF(F42=0,"",ROUND(50 + 10 * (D42 - E42) / F42, 0))</f>
        <v/>
      </c>
      <c r="H42" s="32">
        <f>IF(G42="","",IF(G42&lt;35,"Muy bajo",IF(G42&lt;45,"Bajo",IF(G42&lt;=55,"Promedio",IF(G42&lt;=65,"Alto","Muy alto")))))</f>
        <v/>
      </c>
    </row>
    <row r="43">
      <c r="A43" s="33" t="inlineStr">
        <is>
          <t>C4</t>
        </is>
      </c>
      <c r="B43" s="26" t="inlineStr">
        <is>
          <t>Achievement-striving</t>
        </is>
      </c>
      <c r="C43" s="26" t="inlineStr">
        <is>
          <t>Búsqueda de logro</t>
        </is>
      </c>
      <c r="D43" s="33">
        <f>SUMPRODUCT((Test!$B$6:$B$125="C4")*IFERROR(VALUE(Test!$G$6:$G$125),0))</f>
        <v/>
      </c>
      <c r="E43" s="33">
        <f>INDEX(Normas!$B$4:$Q$38, MATCH(A43, Normas!$A$4:$A$38, 0), $B$5)</f>
        <v/>
      </c>
      <c r="F43" s="33">
        <f>INDEX(Normas!$B$4:$Q$38, MATCH(A43, Normas!$A$4:$A$38, 0), $B$5+1)</f>
        <v/>
      </c>
      <c r="G43" s="33">
        <f>IF(F43=0,"",ROUND(50 + 10 * (D43 - E43) / F43, 0))</f>
        <v/>
      </c>
      <c r="H43" s="33">
        <f>IF(G43="","",IF(G43&lt;35,"Muy bajo",IF(G43&lt;45,"Bajo",IF(G43&lt;=55,"Promedio",IF(G43&lt;=65,"Alto","Muy alto")))))</f>
        <v/>
      </c>
    </row>
    <row r="44">
      <c r="A44" s="32" t="inlineStr">
        <is>
          <t>C5</t>
        </is>
      </c>
      <c r="B44" s="21" t="inlineStr">
        <is>
          <t>Self-discipline</t>
        </is>
      </c>
      <c r="C44" s="21" t="inlineStr">
        <is>
          <t>Autodisciplina</t>
        </is>
      </c>
      <c r="D44" s="32">
        <f>SUMPRODUCT((Test!$B$6:$B$125="C5")*IFERROR(VALUE(Test!$G$6:$G$125),0))</f>
        <v/>
      </c>
      <c r="E44" s="32">
        <f>INDEX(Normas!$B$4:$Q$38, MATCH(A44, Normas!$A$4:$A$38, 0), $B$5)</f>
        <v/>
      </c>
      <c r="F44" s="32">
        <f>INDEX(Normas!$B$4:$Q$38, MATCH(A44, Normas!$A$4:$A$38, 0), $B$5+1)</f>
        <v/>
      </c>
      <c r="G44" s="32">
        <f>IF(F44=0,"",ROUND(50 + 10 * (D44 - E44) / F44, 0))</f>
        <v/>
      </c>
      <c r="H44" s="32">
        <f>IF(G44="","",IF(G44&lt;35,"Muy bajo",IF(G44&lt;45,"Bajo",IF(G44&lt;=55,"Promedio",IF(G44&lt;=65,"Alto","Muy alto")))))</f>
        <v/>
      </c>
    </row>
    <row r="45">
      <c r="A45" s="33" t="inlineStr">
        <is>
          <t>C6</t>
        </is>
      </c>
      <c r="B45" s="26" t="inlineStr">
        <is>
          <t>Cautiousness</t>
        </is>
      </c>
      <c r="C45" s="26" t="inlineStr">
        <is>
          <t>Cautela</t>
        </is>
      </c>
      <c r="D45" s="33">
        <f>SUMPRODUCT((Test!$B$6:$B$125="C6")*IFERROR(VALUE(Test!$G$6:$G$125),0))</f>
        <v/>
      </c>
      <c r="E45" s="33">
        <f>INDEX(Normas!$B$4:$Q$38, MATCH(A45, Normas!$A$4:$A$38, 0), $B$5)</f>
        <v/>
      </c>
      <c r="F45" s="33">
        <f>INDEX(Normas!$B$4:$Q$38, MATCH(A45, Normas!$A$4:$A$38, 0), $B$5+1)</f>
        <v/>
      </c>
      <c r="G45" s="33">
        <f>IF(F45=0,"",ROUND(50 + 10 * (D45 - E45) / F45, 0))</f>
        <v/>
      </c>
      <c r="H45" s="33">
        <f>IF(G45="","",IF(G45&lt;35,"Muy bajo",IF(G45&lt;45,"Bajo",IF(G45&lt;=55,"Promedio",IF(G45&lt;=65,"Alto","Muy alto")))))</f>
        <v/>
      </c>
    </row>
  </sheetData>
  <mergeCells count="5">
    <mergeCell ref="A1:H1"/>
    <mergeCell ref="A15:H15"/>
    <mergeCell ref="C4:H4"/>
    <mergeCell ref="C3:H3"/>
    <mergeCell ref="A8:H8"/>
  </mergeCells>
  <conditionalFormatting sqref="H9:H13">
    <cfRule type="expression" priority="1" dxfId="1">
      <formula>H9="Muy bajo"</formula>
    </cfRule>
    <cfRule type="expression" priority="2" dxfId="2">
      <formula>H9="Bajo"</formula>
    </cfRule>
    <cfRule type="expression" priority="3" dxfId="3">
      <formula>H9="Promedio"</formula>
    </cfRule>
    <cfRule type="expression" priority="4" dxfId="4">
      <formula>H9="Alto"</formula>
    </cfRule>
    <cfRule type="expression" priority="5" dxfId="5">
      <formula>H9="Muy alto"</formula>
    </cfRule>
  </conditionalFormatting>
  <conditionalFormatting sqref="G9:G13">
    <cfRule type="colorScale" priority="6">
      <colorScale>
        <cfvo type="num" val="20"/>
        <cfvo type="num" val="50"/>
        <cfvo type="num" val="80"/>
        <color rgb="009DC3E6"/>
        <color rgb="00FFFFFF"/>
        <color rgb="00F8CBAD"/>
      </colorScale>
    </cfRule>
  </conditionalFormatting>
  <conditionalFormatting sqref="H16:H45">
    <cfRule type="expression" priority="7" dxfId="1">
      <formula>H16="Muy bajo"</formula>
    </cfRule>
    <cfRule type="expression" priority="8" dxfId="2">
      <formula>H16="Bajo"</formula>
    </cfRule>
    <cfRule type="expression" priority="9" dxfId="3">
      <formula>H16="Promedio"</formula>
    </cfRule>
    <cfRule type="expression" priority="10" dxfId="4">
      <formula>H16="Alto"</formula>
    </cfRule>
    <cfRule type="expression" priority="11" dxfId="5">
      <formula>H16="Muy alto"</formula>
    </cfRule>
  </conditionalFormatting>
  <conditionalFormatting sqref="G16:G45">
    <cfRule type="colorScale" priority="12">
      <colorScale>
        <cfvo type="num" val="20"/>
        <cfvo type="num" val="50"/>
        <cfvo type="num" val="80"/>
        <color rgb="009DC3E6"/>
        <color rgb="00FFFFFF"/>
        <color rgb="00F8CBAD"/>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selection activeCell="A1" sqref="A1"/>
    </sheetView>
  </sheetViews>
  <sheetFormatPr baseColWidth="8" defaultRowHeight="15"/>
  <cols>
    <col width="32" customWidth="1" min="1" max="1"/>
    <col width="8" customWidth="1" min="2" max="2"/>
  </cols>
  <sheetData>
    <row r="1" ht="34" customHeight="1">
      <c r="A1" s="10" t="inlineStr">
        <is>
          <t>Perfil</t>
        </is>
      </c>
    </row>
    <row r="3">
      <c r="A3" s="11" t="inlineStr">
        <is>
          <t>Dominios (puntuaciones T)</t>
        </is>
      </c>
    </row>
    <row r="5">
      <c r="A5" s="44" t="inlineStr">
        <is>
          <t>Dominio</t>
        </is>
      </c>
      <c r="B5" s="44" t="inlineStr">
        <is>
          <t>T</t>
        </is>
      </c>
    </row>
    <row r="6">
      <c r="A6" s="45" t="inlineStr">
        <is>
          <t>Neuroticismo</t>
        </is>
      </c>
      <c r="B6" s="46">
        <f>IFERROR(Resultados!G9,"")</f>
        <v/>
      </c>
    </row>
    <row r="7">
      <c r="A7" s="47" t="inlineStr">
        <is>
          <t>Extraversión</t>
        </is>
      </c>
      <c r="B7" s="46">
        <f>IFERROR(Resultados!G10,"")</f>
        <v/>
      </c>
    </row>
    <row r="8">
      <c r="A8" s="48" t="inlineStr">
        <is>
          <t>Apertura</t>
        </is>
      </c>
      <c r="B8" s="46">
        <f>IFERROR(Resultados!G11,"")</f>
        <v/>
      </c>
    </row>
    <row r="9">
      <c r="A9" s="49" t="inlineStr">
        <is>
          <t>Amabilidad</t>
        </is>
      </c>
      <c r="B9" s="46">
        <f>IFERROR(Resultados!G12,"")</f>
        <v/>
      </c>
    </row>
    <row r="10">
      <c r="A10" s="50" t="inlineStr">
        <is>
          <t>Responsabilidad</t>
        </is>
      </c>
      <c r="B10" s="46">
        <f>IFERROR(Resultados!G13,"")</f>
        <v/>
      </c>
    </row>
    <row r="22">
      <c r="A22" s="11" t="inlineStr">
        <is>
          <t>Facetas (puntuaciones T)</t>
        </is>
      </c>
    </row>
    <row r="24">
      <c r="A24" s="44" t="inlineStr">
        <is>
          <t>Faceta</t>
        </is>
      </c>
      <c r="B24" s="44" t="inlineStr">
        <is>
          <t>T</t>
        </is>
      </c>
    </row>
    <row r="25">
      <c r="A25" s="51" t="inlineStr">
        <is>
          <t>N1 · Ansiedad</t>
        </is>
      </c>
      <c r="B25" s="46">
        <f>IFERROR(Resultados!G16,"")</f>
        <v/>
      </c>
    </row>
    <row r="26">
      <c r="A26" s="51" t="inlineStr">
        <is>
          <t>N2 · Ira</t>
        </is>
      </c>
      <c r="B26" s="46">
        <f>IFERROR(Resultados!G17,"")</f>
        <v/>
      </c>
    </row>
    <row r="27">
      <c r="A27" s="51" t="inlineStr">
        <is>
          <t>N3 · Depresión</t>
        </is>
      </c>
      <c r="B27" s="46">
        <f>IFERROR(Resultados!G18,"")</f>
        <v/>
      </c>
    </row>
    <row r="28">
      <c r="A28" s="51" t="inlineStr">
        <is>
          <t>N4 · Autoconciencia</t>
        </is>
      </c>
      <c r="B28" s="46">
        <f>IFERROR(Resultados!G19,"")</f>
        <v/>
      </c>
    </row>
    <row r="29">
      <c r="A29" s="51" t="inlineStr">
        <is>
          <t>N5 · Inmoderación</t>
        </is>
      </c>
      <c r="B29" s="46">
        <f>IFERROR(Resultados!G20,"")</f>
        <v/>
      </c>
    </row>
    <row r="30">
      <c r="A30" s="51" t="inlineStr">
        <is>
          <t>N6 · Vulnerabilidad</t>
        </is>
      </c>
      <c r="B30" s="46">
        <f>IFERROR(Resultados!G21,"")</f>
        <v/>
      </c>
    </row>
    <row r="31">
      <c r="A31" s="52" t="inlineStr">
        <is>
          <t>E1 · Amabilidad social</t>
        </is>
      </c>
      <c r="B31" s="46">
        <f>IFERROR(Resultados!G22,"")</f>
        <v/>
      </c>
    </row>
    <row r="32">
      <c r="A32" s="52" t="inlineStr">
        <is>
          <t>E2 · Gregarismo</t>
        </is>
      </c>
      <c r="B32" s="46">
        <f>IFERROR(Resultados!G23,"")</f>
        <v/>
      </c>
    </row>
    <row r="33">
      <c r="A33" s="52" t="inlineStr">
        <is>
          <t>E3 · Asertividad</t>
        </is>
      </c>
      <c r="B33" s="46">
        <f>IFERROR(Resultados!G24,"")</f>
        <v/>
      </c>
    </row>
    <row r="34">
      <c r="A34" s="52" t="inlineStr">
        <is>
          <t>E4 · Actividad</t>
        </is>
      </c>
      <c r="B34" s="46">
        <f>IFERROR(Resultados!G25,"")</f>
        <v/>
      </c>
    </row>
    <row r="35">
      <c r="A35" s="52" t="inlineStr">
        <is>
          <t>E5 · Búsqueda de emociones</t>
        </is>
      </c>
      <c r="B35" s="46">
        <f>IFERROR(Resultados!G26,"")</f>
        <v/>
      </c>
    </row>
    <row r="36">
      <c r="A36" s="52" t="inlineStr">
        <is>
          <t>E6 · Alegría</t>
        </is>
      </c>
      <c r="B36" s="46">
        <f>IFERROR(Resultados!G27,"")</f>
        <v/>
      </c>
    </row>
    <row r="37">
      <c r="A37" s="53" t="inlineStr">
        <is>
          <t>O1 · Imaginación</t>
        </is>
      </c>
      <c r="B37" s="46">
        <f>IFERROR(Resultados!G28,"")</f>
        <v/>
      </c>
    </row>
    <row r="38">
      <c r="A38" s="53" t="inlineStr">
        <is>
          <t>O2 · Interés artístico</t>
        </is>
      </c>
      <c r="B38" s="46">
        <f>IFERROR(Resultados!G29,"")</f>
        <v/>
      </c>
    </row>
    <row r="39">
      <c r="A39" s="53" t="inlineStr">
        <is>
          <t>O3 · Emocionalidad</t>
        </is>
      </c>
      <c r="B39" s="46">
        <f>IFERROR(Resultados!G30,"")</f>
        <v/>
      </c>
    </row>
    <row r="40">
      <c r="A40" s="53" t="inlineStr">
        <is>
          <t>O4 · Sentido de aventura</t>
        </is>
      </c>
      <c r="B40" s="46">
        <f>IFERROR(Resultados!G31,"")</f>
        <v/>
      </c>
    </row>
    <row r="41">
      <c r="A41" s="53" t="inlineStr">
        <is>
          <t>O5 · Intelecto</t>
        </is>
      </c>
      <c r="B41" s="46">
        <f>IFERROR(Resultados!G32,"")</f>
        <v/>
      </c>
    </row>
    <row r="42">
      <c r="A42" s="53" t="inlineStr">
        <is>
          <t>O6 · Liberalismo</t>
        </is>
      </c>
      <c r="B42" s="46">
        <f>IFERROR(Resultados!G33,"")</f>
        <v/>
      </c>
    </row>
    <row r="43">
      <c r="A43" s="54" t="inlineStr">
        <is>
          <t>A1 · Confianza</t>
        </is>
      </c>
      <c r="B43" s="46">
        <f>IFERROR(Resultados!G34,"")</f>
        <v/>
      </c>
    </row>
    <row r="44">
      <c r="A44" s="54" t="inlineStr">
        <is>
          <t>A2 · Moralidad</t>
        </is>
      </c>
      <c r="B44" s="46">
        <f>IFERROR(Resultados!G35,"")</f>
        <v/>
      </c>
    </row>
    <row r="45">
      <c r="A45" s="54" t="inlineStr">
        <is>
          <t>A3 · Altruismo</t>
        </is>
      </c>
      <c r="B45" s="46">
        <f>IFERROR(Resultados!G36,"")</f>
        <v/>
      </c>
    </row>
    <row r="46">
      <c r="A46" s="54" t="inlineStr">
        <is>
          <t>A4 · Cooperación</t>
        </is>
      </c>
      <c r="B46" s="46">
        <f>IFERROR(Resultados!G37,"")</f>
        <v/>
      </c>
    </row>
    <row r="47">
      <c r="A47" s="54" t="inlineStr">
        <is>
          <t>A5 · Modestia</t>
        </is>
      </c>
      <c r="B47" s="46">
        <f>IFERROR(Resultados!G38,"")</f>
        <v/>
      </c>
    </row>
    <row r="48">
      <c r="A48" s="54" t="inlineStr">
        <is>
          <t>A6 · Simpatía</t>
        </is>
      </c>
      <c r="B48" s="46">
        <f>IFERROR(Resultados!G39,"")</f>
        <v/>
      </c>
    </row>
    <row r="49">
      <c r="A49" s="55" t="inlineStr">
        <is>
          <t>C1 · Autoeficacia</t>
        </is>
      </c>
      <c r="B49" s="46">
        <f>IFERROR(Resultados!G40,"")</f>
        <v/>
      </c>
    </row>
    <row r="50">
      <c r="A50" s="55" t="inlineStr">
        <is>
          <t>C2 · Orden</t>
        </is>
      </c>
      <c r="B50" s="46">
        <f>IFERROR(Resultados!G41,"")</f>
        <v/>
      </c>
    </row>
    <row r="51">
      <c r="A51" s="55" t="inlineStr">
        <is>
          <t>C3 · Sentido del deber</t>
        </is>
      </c>
      <c r="B51" s="46">
        <f>IFERROR(Resultados!G42,"")</f>
        <v/>
      </c>
    </row>
    <row r="52">
      <c r="A52" s="55" t="inlineStr">
        <is>
          <t>C4 · Búsqueda de logro</t>
        </is>
      </c>
      <c r="B52" s="46">
        <f>IFERROR(Resultados!G43,"")</f>
        <v/>
      </c>
    </row>
    <row r="53">
      <c r="A53" s="55" t="inlineStr">
        <is>
          <t>C5 · Autodisciplina</t>
        </is>
      </c>
      <c r="B53" s="46">
        <f>IFERROR(Resultados!G44,"")</f>
        <v/>
      </c>
    </row>
    <row r="54">
      <c r="A54" s="55" t="inlineStr">
        <is>
          <t>C6 · Cautela</t>
        </is>
      </c>
      <c r="B54" s="46">
        <f>IFERROR(Resultados!G45,"")</f>
        <v/>
      </c>
    </row>
  </sheetData>
  <mergeCells count="1">
    <mergeCell ref="A1:H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10" customWidth="1" min="1" max="1"/>
    <col width="22" customWidth="1" min="2" max="2"/>
    <col width="10" customWidth="1" min="3" max="3"/>
    <col width="14" customWidth="1" min="4" max="4"/>
    <col width="90" customWidth="1" min="5" max="5"/>
  </cols>
  <sheetData>
    <row r="1" ht="34" customHeight="1">
      <c r="A1" s="10" t="inlineStr">
        <is>
          <t>Dominios</t>
        </is>
      </c>
    </row>
    <row r="3" ht="26" customHeight="1">
      <c r="A3" s="17" t="inlineStr">
        <is>
          <t>Código</t>
        </is>
      </c>
      <c r="B3" s="17" t="inlineStr">
        <is>
          <t>Nombre</t>
        </is>
      </c>
      <c r="C3" s="17" t="inlineStr">
        <is>
          <t>T</t>
        </is>
      </c>
      <c r="D3" s="17" t="inlineStr">
        <is>
          <t>Nivel</t>
        </is>
      </c>
      <c r="E3" s="17" t="inlineStr">
        <is>
          <t>Descripción</t>
        </is>
      </c>
    </row>
    <row r="4" ht="62" customHeight="1">
      <c r="A4" s="56" t="inlineStr">
        <is>
          <t>N</t>
        </is>
      </c>
      <c r="B4" s="57" t="inlineStr">
        <is>
          <t>Neuroticismo</t>
        </is>
      </c>
      <c r="C4" s="58">
        <f>IFERROR(Resultados!G9,"")</f>
        <v/>
      </c>
      <c r="D4" s="46">
        <f>IFERROR(Resultados!H9,"")</f>
        <v/>
      </c>
      <c r="E4" s="59" t="inlineStr">
        <is>
          <t>Refleja la tendencia a experimentar emociones negativas (ansiedad, tristeza, irritabilidad). Alto: reactivo emocionalmente, sensible al estrés. Bajo: estable, sereno, resistente.</t>
        </is>
      </c>
    </row>
    <row r="5" ht="62" customHeight="1">
      <c r="A5" s="60" t="inlineStr">
        <is>
          <t>E</t>
        </is>
      </c>
      <c r="B5" s="57" t="inlineStr">
        <is>
          <t>Extraversión</t>
        </is>
      </c>
      <c r="C5" s="58">
        <f>IFERROR(Resultados!G10,"")</f>
        <v/>
      </c>
      <c r="D5" s="46">
        <f>IFERROR(Resultados!H10,"")</f>
        <v/>
      </c>
      <c r="E5" s="59" t="inlineStr">
        <is>
          <t>Refleja el nivel de energía social, entusiasmo y búsqueda de estimulación. Alto: sociable, expresivo, activo. Bajo: reservado, tranquilo, prefiere la soledad.</t>
        </is>
      </c>
    </row>
    <row r="6" ht="62" customHeight="1">
      <c r="A6" s="61" t="inlineStr">
        <is>
          <t>O</t>
        </is>
      </c>
      <c r="B6" s="57" t="inlineStr">
        <is>
          <t>Apertura</t>
        </is>
      </c>
      <c r="C6" s="58">
        <f>IFERROR(Resultados!G11,"")</f>
        <v/>
      </c>
      <c r="D6" s="46">
        <f>IFERROR(Resultados!H11,"")</f>
        <v/>
      </c>
      <c r="E6" s="59" t="inlineStr">
        <is>
          <t>Refleja apertura a nuevas ideas, arte, sentimientos y experiencias. Alto: curioso, imaginativo, no convencional. Bajo: pragmático, tradicional, concreto.</t>
        </is>
      </c>
    </row>
    <row r="7" ht="62" customHeight="1">
      <c r="A7" s="62" t="inlineStr">
        <is>
          <t>A</t>
        </is>
      </c>
      <c r="B7" s="57" t="inlineStr">
        <is>
          <t>Amabilidad</t>
        </is>
      </c>
      <c r="C7" s="58">
        <f>IFERROR(Resultados!G12,"")</f>
        <v/>
      </c>
      <c r="D7" s="46">
        <f>IFERROR(Resultados!H12,"")</f>
        <v/>
      </c>
      <c r="E7" s="59" t="inlineStr">
        <is>
          <t>Refleja la orientación cooperativa y confiada hacia los demás. Alto: empático, generoso, buscando armonía. Bajo: escéptico, competitivo, directo.</t>
        </is>
      </c>
    </row>
    <row r="8" ht="62" customHeight="1">
      <c r="A8" s="63" t="inlineStr">
        <is>
          <t>C</t>
        </is>
      </c>
      <c r="B8" s="57" t="inlineStr">
        <is>
          <t>Responsabilidad</t>
        </is>
      </c>
      <c r="C8" s="58">
        <f>IFERROR(Resultados!G13,"")</f>
        <v/>
      </c>
      <c r="D8" s="46">
        <f>IFERROR(Resultados!H13,"")</f>
        <v/>
      </c>
      <c r="E8" s="59" t="inlineStr">
        <is>
          <t>Refleja autocontrol, organización y orientación a metas. Alto: metódico, responsable, disciplinado. Bajo: espontáneo, flexible, tolerante al desorden.</t>
        </is>
      </c>
    </row>
  </sheetData>
  <mergeCells count="1">
    <mergeCell ref="A1:E1"/>
  </mergeCells>
  <conditionalFormatting sqref="D4:D8">
    <cfRule type="expression" priority="1" dxfId="1">
      <formula>D4="Muy bajo"</formula>
    </cfRule>
    <cfRule type="expression" priority="2" dxfId="2">
      <formula>D4="Bajo"</formula>
    </cfRule>
    <cfRule type="expression" priority="3" dxfId="3">
      <formula>D4="Promedio"</formula>
    </cfRule>
    <cfRule type="expression" priority="4" dxfId="4">
      <formula>D4="Alto"</formula>
    </cfRule>
    <cfRule type="expression" priority="5" dxfId="5">
      <formula>D4="Muy alto"</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showGridLines="0" workbookViewId="0">
      <pane ySplit="3" topLeftCell="A4" activePane="bottomLeft" state="frozen"/>
      <selection pane="bottomLeft" activeCell="A1" sqref="A1"/>
    </sheetView>
  </sheetViews>
  <sheetFormatPr baseColWidth="8" defaultRowHeight="15"/>
  <cols>
    <col width="18" customWidth="1" min="1" max="1"/>
    <col width="8" customWidth="1" min="2" max="2"/>
    <col width="24" customWidth="1" min="3" max="3"/>
    <col width="8" customWidth="1" min="4" max="4"/>
    <col width="14" customWidth="1" min="5" max="5"/>
    <col width="70" customWidth="1" min="6" max="6"/>
  </cols>
  <sheetData>
    <row r="1" ht="34" customHeight="1">
      <c r="A1" s="10" t="inlineStr">
        <is>
          <t>Facetas</t>
        </is>
      </c>
    </row>
    <row r="3" ht="26" customHeight="1">
      <c r="A3" s="17" t="inlineStr">
        <is>
          <t>Dominio</t>
        </is>
      </c>
      <c r="B3" s="17" t="inlineStr">
        <is>
          <t>Código</t>
        </is>
      </c>
      <c r="C3" s="17" t="inlineStr">
        <is>
          <t>Nombre</t>
        </is>
      </c>
      <c r="D3" s="17" t="inlineStr">
        <is>
          <t>T</t>
        </is>
      </c>
      <c r="E3" s="17" t="inlineStr">
        <is>
          <t>Nivel</t>
        </is>
      </c>
      <c r="F3" s="17" t="inlineStr">
        <is>
          <t>Descripción</t>
        </is>
      </c>
    </row>
    <row r="4" ht="30" customHeight="1">
      <c r="A4" s="19" t="inlineStr">
        <is>
          <t>Neuroticismo</t>
        </is>
      </c>
      <c r="B4" s="46" t="inlineStr">
        <is>
          <t>N1</t>
        </is>
      </c>
      <c r="C4" s="64" t="inlineStr">
        <is>
          <t>Ansiedad</t>
        </is>
      </c>
      <c r="D4" s="46">
        <f>IFERROR(Resultados!G16,"")</f>
        <v/>
      </c>
      <c r="E4" s="46">
        <f>IFERROR(Resultados!H16,"")</f>
        <v/>
      </c>
      <c r="F4" s="59" t="inlineStr">
        <is>
          <t>Preocupación y tensión frente a lo incierto.</t>
        </is>
      </c>
    </row>
    <row r="5" ht="30" customHeight="1">
      <c r="A5" s="19" t="inlineStr">
        <is>
          <t>Neuroticismo</t>
        </is>
      </c>
      <c r="B5" s="46" t="inlineStr">
        <is>
          <t>N2</t>
        </is>
      </c>
      <c r="C5" s="64" t="inlineStr">
        <is>
          <t>Ira</t>
        </is>
      </c>
      <c r="D5" s="46">
        <f>IFERROR(Resultados!G17,"")</f>
        <v/>
      </c>
      <c r="E5" s="46">
        <f>IFERROR(Resultados!H17,"")</f>
        <v/>
      </c>
      <c r="F5" s="59" t="inlineStr">
        <is>
          <t>Facilidad para enojarse ante frustraciones.</t>
        </is>
      </c>
    </row>
    <row r="6" ht="30" customHeight="1">
      <c r="A6" s="19" t="inlineStr">
        <is>
          <t>Neuroticismo</t>
        </is>
      </c>
      <c r="B6" s="46" t="inlineStr">
        <is>
          <t>N3</t>
        </is>
      </c>
      <c r="C6" s="64" t="inlineStr">
        <is>
          <t>Depresión</t>
        </is>
      </c>
      <c r="D6" s="46">
        <f>IFERROR(Resultados!G18,"")</f>
        <v/>
      </c>
      <c r="E6" s="46">
        <f>IFERROR(Resultados!H18,"")</f>
        <v/>
      </c>
      <c r="F6" s="59" t="inlineStr">
        <is>
          <t>Tendencia a tristeza, culpa y desánimo.</t>
        </is>
      </c>
    </row>
    <row r="7" ht="30" customHeight="1">
      <c r="A7" s="19" t="inlineStr">
        <is>
          <t>Neuroticismo</t>
        </is>
      </c>
      <c r="B7" s="46" t="inlineStr">
        <is>
          <t>N4</t>
        </is>
      </c>
      <c r="C7" s="64" t="inlineStr">
        <is>
          <t>Autoconciencia</t>
        </is>
      </c>
      <c r="D7" s="46">
        <f>IFERROR(Resultados!G19,"")</f>
        <v/>
      </c>
      <c r="E7" s="46">
        <f>IFERROR(Resultados!H19,"")</f>
        <v/>
      </c>
      <c r="F7" s="59" t="inlineStr">
        <is>
          <t>Timidez o incomodidad ante la mirada ajena.</t>
        </is>
      </c>
    </row>
    <row r="8" ht="30" customHeight="1">
      <c r="A8" s="19" t="inlineStr">
        <is>
          <t>Neuroticismo</t>
        </is>
      </c>
      <c r="B8" s="46" t="inlineStr">
        <is>
          <t>N5</t>
        </is>
      </c>
      <c r="C8" s="64" t="inlineStr">
        <is>
          <t>Inmoderación</t>
        </is>
      </c>
      <c r="D8" s="46">
        <f>IFERROR(Resultados!G20,"")</f>
        <v/>
      </c>
      <c r="E8" s="46">
        <f>IFERROR(Resultados!H20,"")</f>
        <v/>
      </c>
      <c r="F8" s="59" t="inlineStr">
        <is>
          <t>Dificultad para resistir impulsos y antojos.</t>
        </is>
      </c>
    </row>
    <row r="9" ht="30" customHeight="1">
      <c r="A9" s="19" t="inlineStr">
        <is>
          <t>Neuroticismo</t>
        </is>
      </c>
      <c r="B9" s="46" t="inlineStr">
        <is>
          <t>N6</t>
        </is>
      </c>
      <c r="C9" s="64" t="inlineStr">
        <is>
          <t>Vulnerabilidad</t>
        </is>
      </c>
      <c r="D9" s="46">
        <f>IFERROR(Resultados!G21,"")</f>
        <v/>
      </c>
      <c r="E9" s="46">
        <f>IFERROR(Resultados!H21,"")</f>
        <v/>
      </c>
      <c r="F9" s="59" t="inlineStr">
        <is>
          <t>Sentirse abrumado en momentos de crisis.</t>
        </is>
      </c>
    </row>
    <row r="10" ht="30" customHeight="1">
      <c r="A10" s="24" t="inlineStr">
        <is>
          <t>Extraversión</t>
        </is>
      </c>
      <c r="B10" s="46" t="inlineStr">
        <is>
          <t>E1</t>
        </is>
      </c>
      <c r="C10" s="64" t="inlineStr">
        <is>
          <t>Amabilidad social</t>
        </is>
      </c>
      <c r="D10" s="46">
        <f>IFERROR(Resultados!G22,"")</f>
        <v/>
      </c>
      <c r="E10" s="46">
        <f>IFERROR(Resultados!H22,"")</f>
        <v/>
      </c>
      <c r="F10" s="59" t="inlineStr">
        <is>
          <t>Interés genuino por otras personas; calidez.</t>
        </is>
      </c>
    </row>
    <row r="11" ht="30" customHeight="1">
      <c r="A11" s="24" t="inlineStr">
        <is>
          <t>Extraversión</t>
        </is>
      </c>
      <c r="B11" s="46" t="inlineStr">
        <is>
          <t>E2</t>
        </is>
      </c>
      <c r="C11" s="64" t="inlineStr">
        <is>
          <t>Gregarismo</t>
        </is>
      </c>
      <c r="D11" s="46">
        <f>IFERROR(Resultados!G23,"")</f>
        <v/>
      </c>
      <c r="E11" s="46">
        <f>IFERROR(Resultados!H23,"")</f>
        <v/>
      </c>
      <c r="F11" s="59" t="inlineStr">
        <is>
          <t>Preferencia por compañía sobre soledad.</t>
        </is>
      </c>
    </row>
    <row r="12" ht="30" customHeight="1">
      <c r="A12" s="24" t="inlineStr">
        <is>
          <t>Extraversión</t>
        </is>
      </c>
      <c r="B12" s="46" t="inlineStr">
        <is>
          <t>E3</t>
        </is>
      </c>
      <c r="C12" s="64" t="inlineStr">
        <is>
          <t>Asertividad</t>
        </is>
      </c>
      <c r="D12" s="46">
        <f>IFERROR(Resultados!G24,"")</f>
        <v/>
      </c>
      <c r="E12" s="46">
        <f>IFERROR(Resultados!H24,"")</f>
        <v/>
      </c>
      <c r="F12" s="59" t="inlineStr">
        <is>
          <t>Facilidad para liderar y expresar opiniones.</t>
        </is>
      </c>
    </row>
    <row r="13" ht="30" customHeight="1">
      <c r="A13" s="24" t="inlineStr">
        <is>
          <t>Extraversión</t>
        </is>
      </c>
      <c r="B13" s="46" t="inlineStr">
        <is>
          <t>E4</t>
        </is>
      </c>
      <c r="C13" s="64" t="inlineStr">
        <is>
          <t>Actividad</t>
        </is>
      </c>
      <c r="D13" s="46">
        <f>IFERROR(Resultados!G25,"")</f>
        <v/>
      </c>
      <c r="E13" s="46">
        <f>IFERROR(Resultados!H25,"")</f>
        <v/>
      </c>
      <c r="F13" s="59" t="inlineStr">
        <is>
          <t>Ritmo de vida enérgico y ocupado.</t>
        </is>
      </c>
    </row>
    <row r="14" ht="30" customHeight="1">
      <c r="A14" s="24" t="inlineStr">
        <is>
          <t>Extraversión</t>
        </is>
      </c>
      <c r="B14" s="46" t="inlineStr">
        <is>
          <t>E5</t>
        </is>
      </c>
      <c r="C14" s="64" t="inlineStr">
        <is>
          <t>Búsqueda de emociones</t>
        </is>
      </c>
      <c r="D14" s="46">
        <f>IFERROR(Resultados!G26,"")</f>
        <v/>
      </c>
      <c r="E14" s="46">
        <f>IFERROR(Resultados!H26,"")</f>
        <v/>
      </c>
      <c r="F14" s="59" t="inlineStr">
        <is>
          <t>Gusto por el riesgo, novedad y estimulación fuerte.</t>
        </is>
      </c>
    </row>
    <row r="15" ht="30" customHeight="1">
      <c r="A15" s="24" t="inlineStr">
        <is>
          <t>Extraversión</t>
        </is>
      </c>
      <c r="B15" s="46" t="inlineStr">
        <is>
          <t>E6</t>
        </is>
      </c>
      <c r="C15" s="64" t="inlineStr">
        <is>
          <t>Alegría</t>
        </is>
      </c>
      <c r="D15" s="46">
        <f>IFERROR(Resultados!G27,"")</f>
        <v/>
      </c>
      <c r="E15" s="46">
        <f>IFERROR(Resultados!H27,"")</f>
        <v/>
      </c>
      <c r="F15" s="59" t="inlineStr">
        <is>
          <t>Capacidad de disfrutar alegre y espontáneamente.</t>
        </is>
      </c>
    </row>
    <row r="16" ht="30" customHeight="1">
      <c r="A16" s="27" t="inlineStr">
        <is>
          <t>Apertura</t>
        </is>
      </c>
      <c r="B16" s="46" t="inlineStr">
        <is>
          <t>O1</t>
        </is>
      </c>
      <c r="C16" s="64" t="inlineStr">
        <is>
          <t>Imaginación</t>
        </is>
      </c>
      <c r="D16" s="46">
        <f>IFERROR(Resultados!G28,"")</f>
        <v/>
      </c>
      <c r="E16" s="46">
        <f>IFERROR(Resultados!H28,"")</f>
        <v/>
      </c>
      <c r="F16" s="59" t="inlineStr">
        <is>
          <t>Vida interior rica y fantasiosa.</t>
        </is>
      </c>
    </row>
    <row r="17" ht="30" customHeight="1">
      <c r="A17" s="27" t="inlineStr">
        <is>
          <t>Apertura</t>
        </is>
      </c>
      <c r="B17" s="46" t="inlineStr">
        <is>
          <t>O2</t>
        </is>
      </c>
      <c r="C17" s="64" t="inlineStr">
        <is>
          <t>Interés artístico</t>
        </is>
      </c>
      <c r="D17" s="46">
        <f>IFERROR(Resultados!G29,"")</f>
        <v/>
      </c>
      <c r="E17" s="46">
        <f>IFERROR(Resultados!H29,"")</f>
        <v/>
      </c>
      <c r="F17" s="59" t="inlineStr">
        <is>
          <t>Apreciación del arte, la belleza y la música.</t>
        </is>
      </c>
    </row>
    <row r="18" ht="30" customHeight="1">
      <c r="A18" s="27" t="inlineStr">
        <is>
          <t>Apertura</t>
        </is>
      </c>
      <c r="B18" s="46" t="inlineStr">
        <is>
          <t>O3</t>
        </is>
      </c>
      <c r="C18" s="64" t="inlineStr">
        <is>
          <t>Emocionalidad</t>
        </is>
      </c>
      <c r="D18" s="46">
        <f>IFERROR(Resultados!G30,"")</f>
        <v/>
      </c>
      <c r="E18" s="46">
        <f>IFERROR(Resultados!H30,"")</f>
        <v/>
      </c>
      <c r="F18" s="59" t="inlineStr">
        <is>
          <t>Conciencia y valoración de emociones internas.</t>
        </is>
      </c>
    </row>
    <row r="19" ht="30" customHeight="1">
      <c r="A19" s="27" t="inlineStr">
        <is>
          <t>Apertura</t>
        </is>
      </c>
      <c r="B19" s="46" t="inlineStr">
        <is>
          <t>O4</t>
        </is>
      </c>
      <c r="C19" s="64" t="inlineStr">
        <is>
          <t>Sentido de aventura</t>
        </is>
      </c>
      <c r="D19" s="46">
        <f>IFERROR(Resultados!G31,"")</f>
        <v/>
      </c>
      <c r="E19" s="46">
        <f>IFERROR(Resultados!H31,"")</f>
        <v/>
      </c>
      <c r="F19" s="59" t="inlineStr">
        <is>
          <t>Preferencia por lo novedoso sobre la rutina.</t>
        </is>
      </c>
    </row>
    <row r="20" ht="30" customHeight="1">
      <c r="A20" s="27" t="inlineStr">
        <is>
          <t>Apertura</t>
        </is>
      </c>
      <c r="B20" s="46" t="inlineStr">
        <is>
          <t>O5</t>
        </is>
      </c>
      <c r="C20" s="64" t="inlineStr">
        <is>
          <t>Intelecto</t>
        </is>
      </c>
      <c r="D20" s="46">
        <f>IFERROR(Resultados!G32,"")</f>
        <v/>
      </c>
      <c r="E20" s="46">
        <f>IFERROR(Resultados!H32,"")</f>
        <v/>
      </c>
      <c r="F20" s="59" t="inlineStr">
        <is>
          <t>Gusto por las ideas abstractas y el debate intelectual.</t>
        </is>
      </c>
    </row>
    <row r="21" ht="30" customHeight="1">
      <c r="A21" s="27" t="inlineStr">
        <is>
          <t>Apertura</t>
        </is>
      </c>
      <c r="B21" s="46" t="inlineStr">
        <is>
          <t>O6</t>
        </is>
      </c>
      <c r="C21" s="64" t="inlineStr">
        <is>
          <t>Liberalismo</t>
        </is>
      </c>
      <c r="D21" s="46">
        <f>IFERROR(Resultados!G33,"")</f>
        <v/>
      </c>
      <c r="E21" s="46">
        <f>IFERROR(Resultados!H33,"")</f>
        <v/>
      </c>
      <c r="F21" s="59" t="inlineStr">
        <is>
          <t>Cuestionamiento de tradiciones y autoridades.</t>
        </is>
      </c>
    </row>
    <row r="22" ht="30" customHeight="1">
      <c r="A22" s="28" t="inlineStr">
        <is>
          <t>Amabilidad</t>
        </is>
      </c>
      <c r="B22" s="46" t="inlineStr">
        <is>
          <t>A1</t>
        </is>
      </c>
      <c r="C22" s="64" t="inlineStr">
        <is>
          <t>Confianza</t>
        </is>
      </c>
      <c r="D22" s="46">
        <f>IFERROR(Resultados!G34,"")</f>
        <v/>
      </c>
      <c r="E22" s="46">
        <f>IFERROR(Resultados!H34,"")</f>
        <v/>
      </c>
      <c r="F22" s="59" t="inlineStr">
        <is>
          <t>Suposición de que los demás son honestos.</t>
        </is>
      </c>
    </row>
    <row r="23" ht="30" customHeight="1">
      <c r="A23" s="28" t="inlineStr">
        <is>
          <t>Amabilidad</t>
        </is>
      </c>
      <c r="B23" s="46" t="inlineStr">
        <is>
          <t>A2</t>
        </is>
      </c>
      <c r="C23" s="64" t="inlineStr">
        <is>
          <t>Moralidad</t>
        </is>
      </c>
      <c r="D23" s="46">
        <f>IFERROR(Resultados!G35,"")</f>
        <v/>
      </c>
      <c r="E23" s="46">
        <f>IFERROR(Resultados!H35,"")</f>
        <v/>
      </c>
      <c r="F23" s="59" t="inlineStr">
        <is>
          <t>Franqueza y transparencia en el trato.</t>
        </is>
      </c>
    </row>
    <row r="24" ht="30" customHeight="1">
      <c r="A24" s="28" t="inlineStr">
        <is>
          <t>Amabilidad</t>
        </is>
      </c>
      <c r="B24" s="46" t="inlineStr">
        <is>
          <t>A3</t>
        </is>
      </c>
      <c r="C24" s="64" t="inlineStr">
        <is>
          <t>Altruismo</t>
        </is>
      </c>
      <c r="D24" s="46">
        <f>IFERROR(Resultados!G36,"")</f>
        <v/>
      </c>
      <c r="E24" s="46">
        <f>IFERROR(Resultados!H36,"")</f>
        <v/>
      </c>
      <c r="F24" s="59" t="inlineStr">
        <is>
          <t>Preocupación activa por el bienestar ajeno.</t>
        </is>
      </c>
    </row>
    <row r="25" ht="30" customHeight="1">
      <c r="A25" s="28" t="inlineStr">
        <is>
          <t>Amabilidad</t>
        </is>
      </c>
      <c r="B25" s="46" t="inlineStr">
        <is>
          <t>A4</t>
        </is>
      </c>
      <c r="C25" s="64" t="inlineStr">
        <is>
          <t>Cooperación</t>
        </is>
      </c>
      <c r="D25" s="46">
        <f>IFERROR(Resultados!G37,"")</f>
        <v/>
      </c>
      <c r="E25" s="46">
        <f>IFERROR(Resultados!H37,"")</f>
        <v/>
      </c>
      <c r="F25" s="59" t="inlineStr">
        <is>
          <t>Preferencia por evitar conflictos y ceder.</t>
        </is>
      </c>
    </row>
    <row r="26" ht="30" customHeight="1">
      <c r="A26" s="28" t="inlineStr">
        <is>
          <t>Amabilidad</t>
        </is>
      </c>
      <c r="B26" s="46" t="inlineStr">
        <is>
          <t>A5</t>
        </is>
      </c>
      <c r="C26" s="64" t="inlineStr">
        <is>
          <t>Modestia</t>
        </is>
      </c>
      <c r="D26" s="46">
        <f>IFERROR(Resultados!G38,"")</f>
        <v/>
      </c>
      <c r="E26" s="46">
        <f>IFERROR(Resultados!H38,"")</f>
        <v/>
      </c>
      <c r="F26" s="59" t="inlineStr">
        <is>
          <t>Bajo interés por presumir logros o virtudes.</t>
        </is>
      </c>
    </row>
    <row r="27" ht="30" customHeight="1">
      <c r="A27" s="28" t="inlineStr">
        <is>
          <t>Amabilidad</t>
        </is>
      </c>
      <c r="B27" s="46" t="inlineStr">
        <is>
          <t>A6</t>
        </is>
      </c>
      <c r="C27" s="64" t="inlineStr">
        <is>
          <t>Simpatía</t>
        </is>
      </c>
      <c r="D27" s="46">
        <f>IFERROR(Resultados!G39,"")</f>
        <v/>
      </c>
      <c r="E27" s="46">
        <f>IFERROR(Resultados!H39,"")</f>
        <v/>
      </c>
      <c r="F27" s="59" t="inlineStr">
        <is>
          <t>Compasión por quienes sufren.</t>
        </is>
      </c>
    </row>
    <row r="28" ht="30" customHeight="1">
      <c r="A28" s="29" t="inlineStr">
        <is>
          <t>Responsabilidad</t>
        </is>
      </c>
      <c r="B28" s="46" t="inlineStr">
        <is>
          <t>C1</t>
        </is>
      </c>
      <c r="C28" s="64" t="inlineStr">
        <is>
          <t>Autoeficacia</t>
        </is>
      </c>
      <c r="D28" s="46">
        <f>IFERROR(Resultados!G40,"")</f>
        <v/>
      </c>
      <c r="E28" s="46">
        <f>IFERROR(Resultados!H40,"")</f>
        <v/>
      </c>
      <c r="F28" s="59" t="inlineStr">
        <is>
          <t>Confianza en la propia capacidad para lograr metas.</t>
        </is>
      </c>
    </row>
    <row r="29" ht="30" customHeight="1">
      <c r="A29" s="29" t="inlineStr">
        <is>
          <t>Responsabilidad</t>
        </is>
      </c>
      <c r="B29" s="46" t="inlineStr">
        <is>
          <t>C2</t>
        </is>
      </c>
      <c r="C29" s="64" t="inlineStr">
        <is>
          <t>Orden</t>
        </is>
      </c>
      <c r="D29" s="46">
        <f>IFERROR(Resultados!G41,"")</f>
        <v/>
      </c>
      <c r="E29" s="46">
        <f>IFERROR(Resultados!H41,"")</f>
        <v/>
      </c>
      <c r="F29" s="59" t="inlineStr">
        <is>
          <t>Preferencia por el orden y la estructura.</t>
        </is>
      </c>
    </row>
    <row r="30" ht="30" customHeight="1">
      <c r="A30" s="29" t="inlineStr">
        <is>
          <t>Responsabilidad</t>
        </is>
      </c>
      <c r="B30" s="46" t="inlineStr">
        <is>
          <t>C3</t>
        </is>
      </c>
      <c r="C30" s="64" t="inlineStr">
        <is>
          <t>Sentido del deber</t>
        </is>
      </c>
      <c r="D30" s="46">
        <f>IFERROR(Resultados!G42,"")</f>
        <v/>
      </c>
      <c r="E30" s="46">
        <f>IFERROR(Resultados!H42,"")</f>
        <v/>
      </c>
      <c r="F30" s="59" t="inlineStr">
        <is>
          <t>Sentido de obligación moral y ética.</t>
        </is>
      </c>
    </row>
    <row r="31" ht="30" customHeight="1">
      <c r="A31" s="29" t="inlineStr">
        <is>
          <t>Responsabilidad</t>
        </is>
      </c>
      <c r="B31" s="46" t="inlineStr">
        <is>
          <t>C4</t>
        </is>
      </c>
      <c r="C31" s="64" t="inlineStr">
        <is>
          <t>Búsqueda de logro</t>
        </is>
      </c>
      <c r="D31" s="46">
        <f>IFERROR(Resultados!G43,"")</f>
        <v/>
      </c>
      <c r="E31" s="46">
        <f>IFERROR(Resultados!H43,"")</f>
        <v/>
      </c>
      <c r="F31" s="59" t="inlineStr">
        <is>
          <t>Persistencia y ambición para conseguir logros.</t>
        </is>
      </c>
    </row>
    <row r="32" ht="30" customHeight="1">
      <c r="A32" s="29" t="inlineStr">
        <is>
          <t>Responsabilidad</t>
        </is>
      </c>
      <c r="B32" s="46" t="inlineStr">
        <is>
          <t>C5</t>
        </is>
      </c>
      <c r="C32" s="64" t="inlineStr">
        <is>
          <t>Autodisciplina</t>
        </is>
      </c>
      <c r="D32" s="46">
        <f>IFERROR(Resultados!G44,"")</f>
        <v/>
      </c>
      <c r="E32" s="46">
        <f>IFERROR(Resultados!H44,"")</f>
        <v/>
      </c>
      <c r="F32" s="59" t="inlineStr">
        <is>
          <t>Capacidad de completar tareas pese al aburrimiento.</t>
        </is>
      </c>
    </row>
    <row r="33" ht="30" customHeight="1">
      <c r="A33" s="29" t="inlineStr">
        <is>
          <t>Responsabilidad</t>
        </is>
      </c>
      <c r="B33" s="46" t="inlineStr">
        <is>
          <t>C6</t>
        </is>
      </c>
      <c r="C33" s="64" t="inlineStr">
        <is>
          <t>Cautela</t>
        </is>
      </c>
      <c r="D33" s="46">
        <f>IFERROR(Resultados!G45,"")</f>
        <v/>
      </c>
      <c r="E33" s="46">
        <f>IFERROR(Resultados!H45,"")</f>
        <v/>
      </c>
      <c r="F33" s="59" t="inlineStr">
        <is>
          <t>Reflexión antes de actuar; evitación del riesgo.</t>
        </is>
      </c>
    </row>
  </sheetData>
  <mergeCells count="1">
    <mergeCell ref="A1:F1"/>
  </mergeCells>
  <conditionalFormatting sqref="E4:E33">
    <cfRule type="expression" priority="1" dxfId="1">
      <formula>E4="Muy bajo"</formula>
    </cfRule>
    <cfRule type="expression" priority="2" dxfId="2">
      <formula>E4="Bajo"</formula>
    </cfRule>
    <cfRule type="expression" priority="3" dxfId="3">
      <formula>E4="Promedio"</formula>
    </cfRule>
    <cfRule type="expression" priority="4" dxfId="4">
      <formula>E4="Alto"</formula>
    </cfRule>
    <cfRule type="expression" priority="5" dxfId="5">
      <formula>E4="Muy alto"</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24" customWidth="1" min="1" max="1"/>
    <col width="100" customWidth="1" min="2" max="2"/>
  </cols>
  <sheetData>
    <row r="1" ht="34" customHeight="1">
      <c r="A1" s="10" t="inlineStr">
        <is>
          <t>Glosario</t>
        </is>
      </c>
    </row>
    <row r="3" ht="24" customHeight="1">
      <c r="A3" s="17" t="inlineStr">
        <is>
          <t>Término</t>
        </is>
      </c>
      <c r="B3" s="17" t="inlineStr">
        <is>
          <t>Definición</t>
        </is>
      </c>
    </row>
    <row r="4" ht="30" customHeight="1">
      <c r="A4" s="65" t="inlineStr">
        <is>
          <t>Big Five</t>
        </is>
      </c>
      <c r="B4" s="66" t="inlineStr">
        <is>
          <t>Modelo de personalidad de Cinco Grandes: N, E, O, A, C. Consenso empírico dominante desde los 90s.</t>
        </is>
      </c>
    </row>
    <row r="5" ht="30" customHeight="1">
      <c r="A5" s="67" t="inlineStr">
        <is>
          <t>Dominio</t>
        </is>
      </c>
      <c r="B5" s="59" t="inlineStr">
        <is>
          <t>Rasgo amplio (uno de los 5). Cada dominio agrega la información de 6 facetas.</t>
        </is>
      </c>
    </row>
    <row r="6" ht="30" customHeight="1">
      <c r="A6" s="65" t="inlineStr">
        <is>
          <t>Faceta</t>
        </is>
      </c>
      <c r="B6" s="66" t="inlineStr">
        <is>
          <t>Subrasgo específico dentro de un dominio (30 en total).</t>
        </is>
      </c>
    </row>
    <row r="7" ht="30" customHeight="1">
      <c r="A7" s="67" t="inlineStr">
        <is>
          <t>Ítem</t>
        </is>
      </c>
      <c r="B7" s="59" t="inlineStr">
        <is>
          <t>Frase corta a la que respondes 1-5. Hay 120.</t>
        </is>
      </c>
    </row>
    <row r="8" ht="30" customHeight="1">
      <c r="A8" s="65" t="inlineStr">
        <is>
          <t>Escala Likert</t>
        </is>
      </c>
      <c r="B8" s="66" t="inlineStr">
        <is>
          <t>Formato de respuesta con opciones ordenadas de acuerdo/desacuerdo, aquí de 1 a 5.</t>
        </is>
      </c>
    </row>
    <row r="9" ht="30" customHeight="1">
      <c r="A9" s="67" t="inlineStr">
        <is>
          <t>Clave F (forward)</t>
        </is>
      </c>
      <c r="B9" s="59" t="inlineStr">
        <is>
          <t>Ítem cuya respuesta se puntúa directamente (1→1, 5→5).</t>
        </is>
      </c>
    </row>
    <row r="10" ht="30" customHeight="1">
      <c r="A10" s="65" t="inlineStr">
        <is>
          <t>Clave R (reverse)</t>
        </is>
      </c>
      <c r="B10" s="66" t="inlineStr">
        <is>
          <t>Ítem cuya respuesta se invierte (1→5, 5→1) porque está redactado en sentido opuesto al rasgo.</t>
        </is>
      </c>
    </row>
    <row r="11" ht="30" customHeight="1">
      <c r="A11" s="67" t="inlineStr">
        <is>
          <t>Puntuación bruta</t>
        </is>
      </c>
      <c r="B11" s="59" t="inlineStr">
        <is>
          <t>Suma de respuestas puntuadas para una escala. Faceta: 4-20. Dominio: 24-120.</t>
        </is>
      </c>
    </row>
    <row r="12" ht="30" customHeight="1">
      <c r="A12" s="65" t="inlineStr">
        <is>
          <t>Puntuación T</t>
        </is>
      </c>
      <c r="B12" s="66" t="inlineStr">
        <is>
          <t>Puntuación estandarizada con media 50 y DE 10. Permite comparar contra la población normativa.</t>
        </is>
      </c>
    </row>
    <row r="13" ht="30" customHeight="1">
      <c r="A13" s="67" t="inlineStr">
        <is>
          <t>Norma</t>
        </is>
      </c>
      <c r="B13" s="59" t="inlineStr">
        <is>
          <t>Media y DE de referencia calculadas en una muestra grande, segmentada por sexo y edad.</t>
        </is>
      </c>
    </row>
    <row r="14" ht="30" customHeight="1">
      <c r="A14" s="65" t="inlineStr">
        <is>
          <t>Grupo normativo</t>
        </is>
      </c>
      <c r="B14" s="66" t="inlineStr">
        <is>
          <t>Combinación Sexo × Rango de edad usada para estandarizar tus puntuaciones brutas.</t>
        </is>
      </c>
    </row>
    <row r="15" ht="30" customHeight="1">
      <c r="A15" s="67" t="inlineStr">
        <is>
          <t>IPIP</t>
        </is>
      </c>
      <c r="B15" s="59" t="inlineStr">
        <is>
          <t>International Personality Item Pool — repositorio público de ítems de personalidad.</t>
        </is>
      </c>
    </row>
    <row r="16" ht="30" customHeight="1">
      <c r="A16" s="65" t="inlineStr">
        <is>
          <t>Neuroticismo (N)</t>
        </is>
      </c>
      <c r="B16" s="66" t="inlineStr">
        <is>
          <t>Tendencia a experimentar emociones negativas y reaccionar al estrés.</t>
        </is>
      </c>
    </row>
    <row r="17" ht="30" customHeight="1">
      <c r="A17" s="67" t="inlineStr">
        <is>
          <t>Extraversión (E)</t>
        </is>
      </c>
      <c r="B17" s="59" t="inlineStr">
        <is>
          <t>Nivel de energía social, entusiasmo y búsqueda de estimulación.</t>
        </is>
      </c>
    </row>
    <row r="18" ht="30" customHeight="1">
      <c r="A18" s="65" t="inlineStr">
        <is>
          <t>Apertura (O)</t>
        </is>
      </c>
      <c r="B18" s="66" t="inlineStr">
        <is>
          <t>Curiosidad intelectual, sensibilidad estética, apertura a lo nuevo.</t>
        </is>
      </c>
    </row>
    <row r="19" ht="30" customHeight="1">
      <c r="A19" s="67" t="inlineStr">
        <is>
          <t>Amabilidad (A)</t>
        </is>
      </c>
      <c r="B19" s="59" t="inlineStr">
        <is>
          <t>Orientación cooperativa, empática y confiada hacia otros.</t>
        </is>
      </c>
    </row>
    <row r="20" ht="30" customHeight="1">
      <c r="A20" s="65" t="inlineStr">
        <is>
          <t>Responsabilidad (C)</t>
        </is>
      </c>
      <c r="B20" s="66" t="inlineStr">
        <is>
          <t>Autocontrol, organización, orientación a metas.</t>
        </is>
      </c>
    </row>
    <row r="21" ht="30" customHeight="1">
      <c r="A21" s="67" t="inlineStr">
        <is>
          <t>Ipsativo</t>
        </is>
      </c>
      <c r="B21" s="59" t="inlineStr">
        <is>
          <t>Comparación de rasgos dentro de la misma persona, no contra un ideal externo.</t>
        </is>
      </c>
    </row>
    <row r="22" ht="30" customHeight="1">
      <c r="A22" s="65" t="inlineStr">
        <is>
          <t>Autoinforme</t>
        </is>
      </c>
      <c r="B22" s="66" t="inlineStr">
        <is>
          <t>Datos obtenidos preguntándole al propio sujeto, no observados desde afuera.</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B34"/>
  <sheetViews>
    <sheetView showGridLines="0" workbookViewId="0">
      <selection activeCell="A1" sqref="A1"/>
    </sheetView>
  </sheetViews>
  <sheetFormatPr baseColWidth="8" defaultRowHeight="15"/>
  <cols>
    <col width="4" customWidth="1" min="1" max="1"/>
    <col width="110" customWidth="1" min="2" max="2"/>
  </cols>
  <sheetData>
    <row r="2" ht="34" customHeight="1">
      <c r="B2" s="10" t="inlineStr">
        <is>
          <t>Acerca de este documento</t>
        </is>
      </c>
    </row>
    <row r="4" ht="22" customHeight="1">
      <c r="B4" s="11" t="inlineStr">
        <is>
          <t>Ítems (inglés)</t>
        </is>
      </c>
    </row>
    <row r="5">
      <c r="B5" s="12" t="inlineStr">
        <is>
          <t>Tomados del International Personality Item Pool (IPIP) — http://ipip.ori.org — dominio público.</t>
        </is>
      </c>
    </row>
    <row r="6">
      <c r="B6" s="12" t="inlineStr">
        <is>
          <t>Selección y ordenamiento de los 120 ítems: John A. Johnson (2014).</t>
        </is>
      </c>
    </row>
    <row r="8" ht="22" customHeight="1">
      <c r="B8" s="11" t="inlineStr">
        <is>
          <t>Puntuación y normas</t>
        </is>
      </c>
    </row>
    <row r="9">
      <c r="B9" s="12" t="inlineStr">
        <is>
          <t>Johnson, J. A. (2014). Measuring thirty facets of the Five Factor Model with a 120-item</t>
        </is>
      </c>
    </row>
    <row r="10">
      <c r="B10" s="12" t="inlineStr">
        <is>
          <t>public domain inventory: Development of the IPIP-NEO-120. Journal of Research in</t>
        </is>
      </c>
    </row>
    <row r="11">
      <c r="B11" s="12" t="inlineStr">
        <is>
          <t>Personality, 51, 78-89.</t>
        </is>
      </c>
    </row>
    <row r="12">
      <c r="B12" s="12" t="inlineStr">
        <is>
          <t>Materiales originales y normas: OSF project tbmh5.</t>
        </is>
      </c>
    </row>
    <row r="14" ht="22" customHeight="1">
      <c r="B14" s="11" t="inlineStr">
        <is>
          <t>Traducción al español</t>
        </is>
      </c>
    </row>
    <row r="15">
      <c r="B15" s="12" t="inlineStr">
        <is>
          <t>Traducción NO OFICIAL — hecha para uso personal. La columna en inglés es siempre</t>
        </is>
      </c>
    </row>
    <row r="16">
      <c r="B16" s="12" t="inlineStr">
        <is>
          <t>el texto autoritativo. Existe una versión validada al español argentino (Cupani et al.)</t>
        </is>
      </c>
    </row>
    <row r="17">
      <c r="B17" s="12" t="inlineStr">
        <is>
          <t>no incluida aquí.</t>
        </is>
      </c>
    </row>
    <row r="19" ht="22" customHeight="1">
      <c r="B19" s="11" t="inlineStr">
        <is>
          <t>Fórmulas usadas</t>
        </is>
      </c>
    </row>
    <row r="20">
      <c r="B20" s="12" t="inlineStr">
        <is>
          <t>Ítem puntuado = IF(clave="F", respuesta, 6 − respuesta)</t>
        </is>
      </c>
    </row>
    <row r="21">
      <c r="B21" s="12" t="inlineStr">
        <is>
          <t>Bruto faceta = suma de los 4 ítems puntuados de la faceta</t>
        </is>
      </c>
    </row>
    <row r="22">
      <c r="B22" s="12" t="inlineStr">
        <is>
          <t>Bruto dominio = suma de los 24 ítems puntuados del dominio</t>
        </is>
      </c>
    </row>
    <row r="23">
      <c r="B23" s="12" t="inlineStr">
        <is>
          <t>T = 50 + 10 × (bruto − media_grupo) / DE_grupo</t>
        </is>
      </c>
    </row>
    <row r="25" ht="22" customHeight="1">
      <c r="B25" s="11" t="inlineStr">
        <is>
          <t>Interpretación</t>
        </is>
      </c>
    </row>
    <row r="26">
      <c r="B26" s="12" t="inlineStr">
        <is>
          <t>T &lt; 35 → Muy bajo · 35–44 → Bajo · 45–55 → Promedio · 56–65 → Alto · T &gt; 65 → Muy alto</t>
        </is>
      </c>
    </row>
    <row r="27">
      <c r="B27" s="12" t="inlineStr">
        <is>
          <t>"Alto" y "bajo" son descriptivos, no valorativos.</t>
        </is>
      </c>
    </row>
    <row r="29" ht="22" customHeight="1">
      <c r="B29" s="11" t="inlineStr">
        <is>
          <t>Uso</t>
        </is>
      </c>
    </row>
    <row r="30">
      <c r="B30" s="12" t="inlineStr">
        <is>
          <t>Instrumento autoinformado con fines de autoconocimiento.</t>
        </is>
      </c>
    </row>
    <row r="31">
      <c r="B31" s="12" t="inlineStr">
        <is>
          <t>NO reemplaza evaluación clínica profesional.</t>
        </is>
      </c>
    </row>
    <row r="33" ht="22" customHeight="1">
      <c r="B33" s="11" t="inlineStr">
        <is>
          <t>Estructura del archivo</t>
        </is>
      </c>
    </row>
    <row r="34">
      <c r="B34" s="12" t="inlineStr">
        <is>
          <t>10 hojas: Portada · Instrucciones · Test · Normas · Resultados · Perfil · Dominios · Facetas · Glosario · Acerca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2026-07-21T01:23:11Z</dcterms:created>
  <dcterms:modified xmlns:dcterms="http://purl.org/dc/terms/" xmlns:xsi="http://www.w3.org/2001/XMLSchema-instance" xsi:type="dcterms:W3CDTF">2026-07-21T01:23:11Z</dcterms:modified>
</cp:coreProperties>
</file>